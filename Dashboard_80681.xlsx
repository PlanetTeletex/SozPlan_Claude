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O:\_SozAL HSB\10 SozPlan AHK\KLR-Monitoring\80681\"/>
    </mc:Choice>
  </mc:AlternateContent>
  <xr:revisionPtr revIDLastSave="0" documentId="13_ncr:1_{70F152E0-56F3-4787-B890-96B673C582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PI" sheetId="2" r:id="rId1"/>
    <sheet name="Dashboard" sheetId="3" r:id="rId2"/>
    <sheet name="Entwicklung" sheetId="14" r:id="rId3"/>
    <sheet name="Dashboard_Daten" sheetId="13" r:id="rId4"/>
  </sheets>
  <externalReferences>
    <externalReference r:id="rId5"/>
  </externalReferences>
  <definedNames>
    <definedName name="Datenschnitt_Jahr">KPI!$M$2:$M$7</definedName>
    <definedName name="Datenschnitt_Projekt">KPI!$N$2:$N$17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7" i="13" l="1"/>
  <c r="Q46" i="13"/>
  <c r="Q45" i="13"/>
  <c r="Q44" i="13"/>
  <c r="Q43" i="13"/>
  <c r="P47" i="13" l="1"/>
  <c r="R47" i="13" s="1"/>
  <c r="P46" i="13"/>
  <c r="R46" i="13" s="1"/>
  <c r="P45" i="13"/>
  <c r="R45" i="13" s="1"/>
  <c r="P44" i="13"/>
  <c r="R44" i="13" s="1"/>
  <c r="P43" i="13"/>
  <c r="R43" i="13" s="1"/>
  <c r="N47" i="13"/>
  <c r="N46" i="13"/>
  <c r="O46" i="13" s="1"/>
  <c r="N45" i="13"/>
  <c r="N44" i="13"/>
  <c r="N43" i="13"/>
  <c r="H44" i="13"/>
  <c r="H45" i="13"/>
  <c r="H46" i="13"/>
  <c r="H47" i="13"/>
  <c r="H43" i="13"/>
  <c r="O45" i="13" l="1"/>
  <c r="W45" i="13" s="1"/>
  <c r="W46" i="13"/>
  <c r="O43" i="13"/>
  <c r="W43" i="13" s="1"/>
  <c r="O47" i="13"/>
  <c r="W47" i="13" s="1"/>
  <c r="O44" i="13"/>
  <c r="W44" i="13" s="1"/>
  <c r="Q82" i="13" l="1"/>
  <c r="P82" i="13"/>
  <c r="L82" i="13"/>
  <c r="J82" i="13"/>
  <c r="I82" i="13"/>
  <c r="H82" i="13"/>
  <c r="F82" i="13"/>
  <c r="E82" i="13"/>
  <c r="Q81" i="13"/>
  <c r="P81" i="13"/>
  <c r="L81" i="13"/>
  <c r="J81" i="13"/>
  <c r="I81" i="13"/>
  <c r="H81" i="13"/>
  <c r="F81" i="13"/>
  <c r="E81" i="13"/>
  <c r="Q80" i="13"/>
  <c r="P80" i="13"/>
  <c r="L80" i="13"/>
  <c r="J80" i="13"/>
  <c r="I80" i="13"/>
  <c r="H80" i="13"/>
  <c r="F80" i="13"/>
  <c r="Q79" i="13"/>
  <c r="P79" i="13"/>
  <c r="L79" i="13"/>
  <c r="J79" i="13"/>
  <c r="I79" i="13"/>
  <c r="H79" i="13"/>
  <c r="F79" i="13"/>
  <c r="Q78" i="13"/>
  <c r="P78" i="13"/>
  <c r="L78" i="13"/>
  <c r="J78" i="13"/>
  <c r="I78" i="13"/>
  <c r="H78" i="13"/>
  <c r="F78" i="13"/>
  <c r="Q77" i="13"/>
  <c r="P77" i="13"/>
  <c r="L77" i="13"/>
  <c r="J77" i="13"/>
  <c r="I77" i="13"/>
  <c r="H77" i="13"/>
  <c r="F77" i="13"/>
  <c r="X69" i="13"/>
  <c r="W69" i="13"/>
  <c r="J69" i="13"/>
  <c r="I69" i="13"/>
  <c r="X68" i="13"/>
  <c r="W68" i="13"/>
  <c r="J68" i="13"/>
  <c r="I68" i="13"/>
  <c r="X67" i="13"/>
  <c r="W67" i="13"/>
  <c r="J67" i="13"/>
  <c r="I67" i="13"/>
  <c r="X66" i="13"/>
  <c r="W66" i="13"/>
  <c r="J66" i="13"/>
  <c r="I66" i="13"/>
  <c r="X65" i="13"/>
  <c r="W65" i="13"/>
  <c r="J65" i="13"/>
  <c r="I65" i="13"/>
  <c r="X64" i="13"/>
  <c r="W64" i="13"/>
  <c r="J64" i="13"/>
  <c r="I64" i="13"/>
  <c r="X63" i="13"/>
  <c r="W63" i="13"/>
  <c r="J63" i="13"/>
  <c r="I63" i="13"/>
  <c r="X62" i="13"/>
  <c r="W62" i="13"/>
  <c r="J62" i="13"/>
  <c r="I62" i="13"/>
  <c r="X61" i="13"/>
  <c r="W61" i="13"/>
  <c r="J61" i="13"/>
  <c r="I61" i="13"/>
  <c r="X60" i="13"/>
  <c r="W60" i="13"/>
  <c r="J60" i="13"/>
  <c r="I60" i="13"/>
  <c r="X59" i="13"/>
  <c r="W59" i="13"/>
  <c r="J59" i="13"/>
  <c r="I59" i="13"/>
  <c r="X58" i="13"/>
  <c r="W58" i="13"/>
  <c r="J58" i="13"/>
  <c r="I58" i="13"/>
  <c r="X57" i="13"/>
  <c r="W57" i="13"/>
  <c r="J57" i="13"/>
  <c r="I57" i="13"/>
  <c r="X56" i="13"/>
  <c r="W56" i="13"/>
  <c r="J56" i="13"/>
  <c r="I56" i="13"/>
  <c r="X55" i="13"/>
  <c r="W55" i="13"/>
  <c r="J55" i="13"/>
  <c r="I55" i="13"/>
  <c r="X54" i="13"/>
  <c r="W54" i="13"/>
  <c r="J54" i="13"/>
  <c r="I54" i="13"/>
  <c r="X53" i="13"/>
  <c r="W53" i="13"/>
  <c r="J53" i="13"/>
  <c r="I53" i="13"/>
  <c r="X52" i="13"/>
  <c r="W52" i="13"/>
  <c r="J52" i="13"/>
  <c r="I52" i="13"/>
  <c r="X51" i="13"/>
  <c r="W51" i="13"/>
  <c r="J51" i="13"/>
  <c r="I51" i="13"/>
  <c r="X50" i="13"/>
  <c r="W50" i="13"/>
  <c r="J50" i="13"/>
  <c r="I50" i="13"/>
  <c r="X49" i="13"/>
  <c r="W49" i="13"/>
  <c r="J49" i="13"/>
  <c r="I49" i="13"/>
  <c r="X48" i="13"/>
  <c r="W48" i="13"/>
  <c r="J48" i="13"/>
  <c r="I48" i="13"/>
  <c r="Y47" i="13"/>
  <c r="X47" i="13"/>
  <c r="V47" i="13" s="1"/>
  <c r="M47" i="13"/>
  <c r="T47" i="13" s="1"/>
  <c r="J47" i="13"/>
  <c r="I47" i="13"/>
  <c r="Y46" i="13"/>
  <c r="X46" i="13"/>
  <c r="M46" i="13"/>
  <c r="J46" i="13"/>
  <c r="I46" i="13"/>
  <c r="Y45" i="13"/>
  <c r="X45" i="13"/>
  <c r="V45" i="13" s="1"/>
  <c r="M45" i="13"/>
  <c r="T45" i="13" s="1"/>
  <c r="J45" i="13"/>
  <c r="I45" i="13"/>
  <c r="Y44" i="13"/>
  <c r="X44" i="13"/>
  <c r="M44" i="13"/>
  <c r="J44" i="13"/>
  <c r="I44" i="13"/>
  <c r="Y43" i="13"/>
  <c r="X43" i="13"/>
  <c r="V43" i="13"/>
  <c r="M43" i="13"/>
  <c r="T43" i="13" s="1"/>
  <c r="J43" i="13"/>
  <c r="I43" i="13"/>
  <c r="Y42" i="13"/>
  <c r="X42" i="13"/>
  <c r="W42" i="13"/>
  <c r="Q42" i="13"/>
  <c r="M42" i="13"/>
  <c r="J42" i="13"/>
  <c r="I42" i="13"/>
  <c r="Y41" i="13"/>
  <c r="X41" i="13"/>
  <c r="W41" i="13"/>
  <c r="V41" i="13"/>
  <c r="Q41" i="13"/>
  <c r="M41" i="13"/>
  <c r="T41" i="13" s="1"/>
  <c r="J41" i="13"/>
  <c r="I41" i="13"/>
  <c r="Y40" i="13"/>
  <c r="X40" i="13"/>
  <c r="W40" i="13"/>
  <c r="T40" i="13"/>
  <c r="Q40" i="13"/>
  <c r="M40" i="13"/>
  <c r="V40" i="13" s="1"/>
  <c r="J40" i="13"/>
  <c r="I40" i="13"/>
  <c r="Y39" i="13"/>
  <c r="X39" i="13"/>
  <c r="W39" i="13"/>
  <c r="T39" i="13"/>
  <c r="Q39" i="13"/>
  <c r="M39" i="13"/>
  <c r="V39" i="13" s="1"/>
  <c r="J39" i="13"/>
  <c r="I39" i="13"/>
  <c r="Y38" i="13"/>
  <c r="X38" i="13"/>
  <c r="W38" i="13"/>
  <c r="T38" i="13"/>
  <c r="Q38" i="13"/>
  <c r="M38" i="13"/>
  <c r="V38" i="13" s="1"/>
  <c r="J38" i="13"/>
  <c r="I38" i="13"/>
  <c r="Y37" i="13"/>
  <c r="X37" i="13"/>
  <c r="W37" i="13"/>
  <c r="T37" i="13"/>
  <c r="Q37" i="13"/>
  <c r="M37" i="13"/>
  <c r="V37" i="13" s="1"/>
  <c r="J37" i="13"/>
  <c r="I37" i="13"/>
  <c r="Y36" i="13"/>
  <c r="X36" i="13"/>
  <c r="W36" i="13"/>
  <c r="T36" i="13"/>
  <c r="Q36" i="13"/>
  <c r="M36" i="13"/>
  <c r="D81" i="13" s="1"/>
  <c r="J36" i="13"/>
  <c r="I36" i="13"/>
  <c r="Y35" i="13"/>
  <c r="X35" i="13"/>
  <c r="W35" i="13"/>
  <c r="Q35" i="13"/>
  <c r="M35" i="13"/>
  <c r="J35" i="13"/>
  <c r="I35" i="13"/>
  <c r="O35" i="13" s="1"/>
  <c r="Y34" i="13"/>
  <c r="X34" i="13"/>
  <c r="V34" i="13"/>
  <c r="S34" i="13"/>
  <c r="Q34" i="13"/>
  <c r="O34" i="13"/>
  <c r="W34" i="13" s="1"/>
  <c r="M34" i="13"/>
  <c r="T34" i="13" s="1"/>
  <c r="J34" i="13"/>
  <c r="I34" i="13"/>
  <c r="Y33" i="13"/>
  <c r="X33" i="13"/>
  <c r="Q33" i="13"/>
  <c r="M33" i="13"/>
  <c r="J33" i="13"/>
  <c r="I33" i="13"/>
  <c r="O33" i="13" s="1"/>
  <c r="W33" i="13" s="1"/>
  <c r="Y32" i="13"/>
  <c r="X32" i="13"/>
  <c r="V32" i="13" s="1"/>
  <c r="S32" i="13"/>
  <c r="Q32" i="13"/>
  <c r="O32" i="13"/>
  <c r="W32" i="13" s="1"/>
  <c r="M32" i="13"/>
  <c r="T32" i="13" s="1"/>
  <c r="J32" i="13"/>
  <c r="I32" i="13"/>
  <c r="Y31" i="13"/>
  <c r="X31" i="13"/>
  <c r="W31" i="13"/>
  <c r="Q31" i="13"/>
  <c r="M31" i="13"/>
  <c r="J31" i="13"/>
  <c r="I31" i="13"/>
  <c r="O31" i="13" s="1"/>
  <c r="Y30" i="13"/>
  <c r="X30" i="13"/>
  <c r="V30" i="13"/>
  <c r="S30" i="13"/>
  <c r="Q30" i="13"/>
  <c r="O30" i="13"/>
  <c r="W30" i="13" s="1"/>
  <c r="M30" i="13"/>
  <c r="T30" i="13" s="1"/>
  <c r="J30" i="13"/>
  <c r="I30" i="13"/>
  <c r="Y29" i="13"/>
  <c r="X29" i="13"/>
  <c r="Q29" i="13"/>
  <c r="M29" i="13"/>
  <c r="J29" i="13"/>
  <c r="I29" i="13"/>
  <c r="O29" i="13" s="1"/>
  <c r="E80" i="13" s="1"/>
  <c r="Y28" i="13"/>
  <c r="X28" i="13"/>
  <c r="V28" i="13" s="1"/>
  <c r="S28" i="13"/>
  <c r="Q28" i="13"/>
  <c r="O28" i="13"/>
  <c r="W28" i="13" s="1"/>
  <c r="M28" i="13"/>
  <c r="T28" i="13" s="1"/>
  <c r="J28" i="13"/>
  <c r="I28" i="13"/>
  <c r="Y27" i="13"/>
  <c r="X27" i="13"/>
  <c r="W27" i="13"/>
  <c r="Q27" i="13"/>
  <c r="M27" i="13"/>
  <c r="J27" i="13"/>
  <c r="I27" i="13"/>
  <c r="O27" i="13" s="1"/>
  <c r="Y26" i="13"/>
  <c r="X26" i="13"/>
  <c r="V26" i="13"/>
  <c r="S26" i="13"/>
  <c r="Q26" i="13"/>
  <c r="O26" i="13"/>
  <c r="W26" i="13" s="1"/>
  <c r="M26" i="13"/>
  <c r="T26" i="13" s="1"/>
  <c r="J26" i="13"/>
  <c r="I26" i="13"/>
  <c r="Y25" i="13"/>
  <c r="X25" i="13"/>
  <c r="Q25" i="13"/>
  <c r="M25" i="13"/>
  <c r="J25" i="13"/>
  <c r="I25" i="13"/>
  <c r="O25" i="13" s="1"/>
  <c r="W25" i="13" s="1"/>
  <c r="Y24" i="13"/>
  <c r="X24" i="13"/>
  <c r="V24" i="13" s="1"/>
  <c r="S24" i="13"/>
  <c r="Q24" i="13"/>
  <c r="O24" i="13"/>
  <c r="W24" i="13" s="1"/>
  <c r="M24" i="13"/>
  <c r="T24" i="13" s="1"/>
  <c r="J24" i="13"/>
  <c r="I24" i="13"/>
  <c r="Y23" i="13"/>
  <c r="X23" i="13"/>
  <c r="W23" i="13"/>
  <c r="Q23" i="13"/>
  <c r="M23" i="13"/>
  <c r="J23" i="13"/>
  <c r="I23" i="13"/>
  <c r="O23" i="13" s="1"/>
  <c r="Y22" i="13"/>
  <c r="X22" i="13"/>
  <c r="V22" i="13"/>
  <c r="S22" i="13"/>
  <c r="Q22" i="13"/>
  <c r="O22" i="13"/>
  <c r="M22" i="13"/>
  <c r="D79" i="13" s="1"/>
  <c r="J22" i="13"/>
  <c r="I22" i="13"/>
  <c r="Y21" i="13"/>
  <c r="X21" i="13"/>
  <c r="Q21" i="13"/>
  <c r="M21" i="13"/>
  <c r="J21" i="13"/>
  <c r="I21" i="13"/>
  <c r="O21" i="13" s="1"/>
  <c r="W21" i="13" s="1"/>
  <c r="Y20" i="13"/>
  <c r="X20" i="13"/>
  <c r="V20" i="13" s="1"/>
  <c r="S20" i="13"/>
  <c r="Q20" i="13"/>
  <c r="O20" i="13"/>
  <c r="W20" i="13" s="1"/>
  <c r="M20" i="13"/>
  <c r="T20" i="13" s="1"/>
  <c r="J20" i="13"/>
  <c r="I20" i="13"/>
  <c r="Y19" i="13"/>
  <c r="X19" i="13"/>
  <c r="W19" i="13"/>
  <c r="Q19" i="13"/>
  <c r="M19" i="13"/>
  <c r="J19" i="13"/>
  <c r="I19" i="13"/>
  <c r="O19" i="13" s="1"/>
  <c r="Y18" i="13"/>
  <c r="X18" i="13"/>
  <c r="V18" i="13"/>
  <c r="S18" i="13"/>
  <c r="Q18" i="13"/>
  <c r="O18" i="13"/>
  <c r="W18" i="13" s="1"/>
  <c r="M18" i="13"/>
  <c r="T18" i="13" s="1"/>
  <c r="J18" i="13"/>
  <c r="I18" i="13"/>
  <c r="Y17" i="13"/>
  <c r="X17" i="13"/>
  <c r="Q17" i="13"/>
  <c r="M17" i="13"/>
  <c r="J17" i="13"/>
  <c r="I17" i="13"/>
  <c r="O17" i="13" s="1"/>
  <c r="W17" i="13" s="1"/>
  <c r="Y16" i="13"/>
  <c r="X16" i="13"/>
  <c r="V16" i="13" s="1"/>
  <c r="S16" i="13"/>
  <c r="Q16" i="13"/>
  <c r="O16" i="13"/>
  <c r="W16" i="13" s="1"/>
  <c r="M16" i="13"/>
  <c r="T16" i="13" s="1"/>
  <c r="J16" i="13"/>
  <c r="I16" i="13"/>
  <c r="Y15" i="13"/>
  <c r="X15" i="13"/>
  <c r="W15" i="13"/>
  <c r="Q15" i="13"/>
  <c r="M15" i="13"/>
  <c r="J15" i="13"/>
  <c r="I15" i="13"/>
  <c r="O15" i="13" s="1"/>
  <c r="Y14" i="13"/>
  <c r="X14" i="13"/>
  <c r="V14" i="13"/>
  <c r="S14" i="13"/>
  <c r="Q14" i="13"/>
  <c r="O14" i="13"/>
  <c r="W14" i="13" s="1"/>
  <c r="M14" i="13"/>
  <c r="T14" i="13" s="1"/>
  <c r="J14" i="13"/>
  <c r="I14" i="13"/>
  <c r="Y13" i="13"/>
  <c r="X13" i="13"/>
  <c r="Q13" i="13"/>
  <c r="M13" i="13"/>
  <c r="J13" i="13"/>
  <c r="I13" i="13"/>
  <c r="O13" i="13" s="1"/>
  <c r="W13" i="13" s="1"/>
  <c r="Y12" i="13"/>
  <c r="X12" i="13"/>
  <c r="C78" i="13" s="1"/>
  <c r="S12" i="13"/>
  <c r="Q12" i="13"/>
  <c r="O12" i="13"/>
  <c r="M12" i="13"/>
  <c r="J12" i="13"/>
  <c r="I12" i="13"/>
  <c r="Y11" i="13"/>
  <c r="X11" i="13"/>
  <c r="W11" i="13"/>
  <c r="Q11" i="13"/>
  <c r="M11" i="13"/>
  <c r="J11" i="13"/>
  <c r="I11" i="13"/>
  <c r="O11" i="13" s="1"/>
  <c r="Y10" i="13"/>
  <c r="X10" i="13"/>
  <c r="V10" i="13"/>
  <c r="S10" i="13"/>
  <c r="Q10" i="13"/>
  <c r="O10" i="13"/>
  <c r="W10" i="13" s="1"/>
  <c r="M10" i="13"/>
  <c r="T10" i="13" s="1"/>
  <c r="J10" i="13"/>
  <c r="I10" i="13"/>
  <c r="Y9" i="13"/>
  <c r="X9" i="13"/>
  <c r="Q9" i="13"/>
  <c r="M9" i="13"/>
  <c r="J9" i="13"/>
  <c r="I9" i="13"/>
  <c r="O9" i="13" s="1"/>
  <c r="W9" i="13" s="1"/>
  <c r="Y8" i="13"/>
  <c r="X8" i="13"/>
  <c r="V8" i="13" s="1"/>
  <c r="S8" i="13"/>
  <c r="Q8" i="13"/>
  <c r="O8" i="13"/>
  <c r="W8" i="13" s="1"/>
  <c r="M8" i="13"/>
  <c r="T8" i="13" s="1"/>
  <c r="J8" i="13"/>
  <c r="I8" i="13"/>
  <c r="Y7" i="13"/>
  <c r="X7" i="13"/>
  <c r="W7" i="13"/>
  <c r="Q7" i="13"/>
  <c r="M7" i="13"/>
  <c r="J7" i="13"/>
  <c r="I7" i="13"/>
  <c r="O7" i="13" s="1"/>
  <c r="Y6" i="13"/>
  <c r="X6" i="13"/>
  <c r="V6" i="13"/>
  <c r="S6" i="13"/>
  <c r="Q6" i="13"/>
  <c r="O6" i="13"/>
  <c r="W6" i="13" s="1"/>
  <c r="M6" i="13"/>
  <c r="T6" i="13" s="1"/>
  <c r="J6" i="13"/>
  <c r="I6" i="13"/>
  <c r="Y5" i="13"/>
  <c r="X5" i="13"/>
  <c r="Q5" i="13"/>
  <c r="M5" i="13"/>
  <c r="J5" i="13"/>
  <c r="I5" i="13"/>
  <c r="O5" i="13" s="1"/>
  <c r="W5" i="13" s="1"/>
  <c r="Y4" i="13"/>
  <c r="X4" i="13"/>
  <c r="V4" i="13" s="1"/>
  <c r="S4" i="13"/>
  <c r="Q4" i="13"/>
  <c r="O4" i="13"/>
  <c r="W4" i="13" s="1"/>
  <c r="M4" i="13"/>
  <c r="T4" i="13" s="1"/>
  <c r="J4" i="13"/>
  <c r="I4" i="13"/>
  <c r="Y3" i="13"/>
  <c r="X3" i="13"/>
  <c r="W3" i="13"/>
  <c r="Q3" i="13"/>
  <c r="M3" i="13"/>
  <c r="J3" i="13"/>
  <c r="I3" i="13"/>
  <c r="O3" i="13" s="1"/>
  <c r="Y2" i="13"/>
  <c r="X2" i="13"/>
  <c r="V2" i="13"/>
  <c r="S2" i="13"/>
  <c r="Q2" i="13"/>
  <c r="O2" i="13"/>
  <c r="M2" i="13"/>
  <c r="D77" i="13" s="1"/>
  <c r="J2" i="13"/>
  <c r="I2" i="13"/>
  <c r="B3" i="2"/>
  <c r="B27" i="2" s="1"/>
  <c r="B2" i="2"/>
  <c r="B63" i="2" s="1"/>
  <c r="P58" i="3" s="1"/>
  <c r="C46" i="2" l="1"/>
  <c r="C50" i="2"/>
  <c r="B54" i="2"/>
  <c r="B58" i="2"/>
  <c r="C47" i="2"/>
  <c r="C55" i="2"/>
  <c r="B5" i="2"/>
  <c r="G4" i="3" s="1"/>
  <c r="B52" i="2"/>
  <c r="B56" i="2"/>
  <c r="C51" i="2"/>
  <c r="C59" i="2"/>
  <c r="C48" i="2"/>
  <c r="C45" i="2"/>
  <c r="C49" i="2"/>
  <c r="C53" i="2"/>
  <c r="C57" i="2"/>
  <c r="C82" i="13"/>
  <c r="K81" i="13"/>
  <c r="K77" i="13"/>
  <c r="K79" i="13"/>
  <c r="G81" i="13"/>
  <c r="G82" i="13"/>
  <c r="C27" i="2"/>
  <c r="D27" i="2" s="1"/>
  <c r="V5" i="13"/>
  <c r="S5" i="13"/>
  <c r="T5" i="13"/>
  <c r="V9" i="13"/>
  <c r="S9" i="13"/>
  <c r="T9" i="13"/>
  <c r="E78" i="13"/>
  <c r="W12" i="13"/>
  <c r="V13" i="13"/>
  <c r="S13" i="13"/>
  <c r="T13" i="13"/>
  <c r="V17" i="13"/>
  <c r="S17" i="13"/>
  <c r="T17" i="13"/>
  <c r="V21" i="13"/>
  <c r="S21" i="13"/>
  <c r="T21" i="13"/>
  <c r="V25" i="13"/>
  <c r="S25" i="13"/>
  <c r="T25" i="13"/>
  <c r="D80" i="13"/>
  <c r="K80" i="13" s="1"/>
  <c r="V29" i="13"/>
  <c r="S29" i="13"/>
  <c r="T29" i="13"/>
  <c r="V33" i="13"/>
  <c r="S33" i="13"/>
  <c r="T33" i="13"/>
  <c r="V49" i="13"/>
  <c r="S49" i="13"/>
  <c r="T49" i="13"/>
  <c r="V51" i="13"/>
  <c r="S51" i="13"/>
  <c r="T51" i="13"/>
  <c r="V53" i="13"/>
  <c r="S53" i="13"/>
  <c r="T53" i="13"/>
  <c r="V55" i="13"/>
  <c r="S55" i="13"/>
  <c r="T55" i="13"/>
  <c r="V57" i="13"/>
  <c r="S57" i="13"/>
  <c r="T57" i="13"/>
  <c r="V59" i="13"/>
  <c r="S59" i="13"/>
  <c r="T59" i="13"/>
  <c r="V61" i="13"/>
  <c r="S61" i="13"/>
  <c r="T61" i="13"/>
  <c r="V63" i="13"/>
  <c r="S63" i="13"/>
  <c r="T63" i="13"/>
  <c r="V65" i="13"/>
  <c r="S65" i="13"/>
  <c r="T65" i="13"/>
  <c r="V67" i="13"/>
  <c r="S67" i="13"/>
  <c r="T67" i="13"/>
  <c r="V69" i="13"/>
  <c r="S69" i="13"/>
  <c r="T69" i="13"/>
  <c r="G78" i="13"/>
  <c r="G80" i="13"/>
  <c r="B4" i="2"/>
  <c r="B6" i="2"/>
  <c r="B45" i="2"/>
  <c r="D45" i="2" s="1"/>
  <c r="B46" i="2"/>
  <c r="D46" i="2" s="1"/>
  <c r="B48" i="2"/>
  <c r="B49" i="2"/>
  <c r="D49" i="2" s="1"/>
  <c r="B51" i="2"/>
  <c r="D51" i="2" s="1"/>
  <c r="C52" i="2"/>
  <c r="B53" i="2"/>
  <c r="C54" i="2"/>
  <c r="B55" i="2"/>
  <c r="D55" i="2" s="1"/>
  <c r="C56" i="2"/>
  <c r="D56" i="2" s="1"/>
  <c r="B57" i="2"/>
  <c r="C58" i="2"/>
  <c r="B59" i="2"/>
  <c r="D59" i="2" s="1"/>
  <c r="E77" i="13"/>
  <c r="G77" i="13" s="1"/>
  <c r="W2" i="13"/>
  <c r="C77" i="13"/>
  <c r="V3" i="13"/>
  <c r="O77" i="13" s="1"/>
  <c r="S3" i="13"/>
  <c r="T3" i="13"/>
  <c r="V7" i="13"/>
  <c r="S7" i="13"/>
  <c r="T7" i="13"/>
  <c r="V11" i="13"/>
  <c r="S11" i="13"/>
  <c r="T11" i="13"/>
  <c r="D78" i="13"/>
  <c r="K78" i="13" s="1"/>
  <c r="V12" i="13"/>
  <c r="V15" i="13"/>
  <c r="S15" i="13"/>
  <c r="T15" i="13"/>
  <c r="V19" i="13"/>
  <c r="S19" i="13"/>
  <c r="T19" i="13"/>
  <c r="E79" i="13"/>
  <c r="G79" i="13" s="1"/>
  <c r="W22" i="13"/>
  <c r="C79" i="13"/>
  <c r="V23" i="13"/>
  <c r="O79" i="13" s="1"/>
  <c r="S23" i="13"/>
  <c r="T23" i="13"/>
  <c r="V27" i="13"/>
  <c r="S27" i="13"/>
  <c r="T27" i="13"/>
  <c r="W29" i="13"/>
  <c r="V31" i="13"/>
  <c r="S31" i="13"/>
  <c r="T31" i="13"/>
  <c r="V35" i="13"/>
  <c r="S35" i="13"/>
  <c r="T35" i="13"/>
  <c r="T42" i="13"/>
  <c r="V42" i="13"/>
  <c r="S42" i="13"/>
  <c r="T44" i="13"/>
  <c r="V44" i="13"/>
  <c r="S44" i="13"/>
  <c r="T46" i="13"/>
  <c r="V46" i="13"/>
  <c r="B50" i="2" s="1"/>
  <c r="D50" i="2" s="1"/>
  <c r="S46" i="13"/>
  <c r="V48" i="13"/>
  <c r="S48" i="13"/>
  <c r="T48" i="13"/>
  <c r="V50" i="13"/>
  <c r="S50" i="13"/>
  <c r="T50" i="13"/>
  <c r="V52" i="13"/>
  <c r="S52" i="13"/>
  <c r="T52" i="13"/>
  <c r="V54" i="13"/>
  <c r="S54" i="13"/>
  <c r="T54" i="13"/>
  <c r="V56" i="13"/>
  <c r="S56" i="13"/>
  <c r="T56" i="13"/>
  <c r="V58" i="13"/>
  <c r="S58" i="13"/>
  <c r="T58" i="13"/>
  <c r="V60" i="13"/>
  <c r="S60" i="13"/>
  <c r="T60" i="13"/>
  <c r="V62" i="13"/>
  <c r="S62" i="13"/>
  <c r="T62" i="13"/>
  <c r="V64" i="13"/>
  <c r="S64" i="13"/>
  <c r="T64" i="13"/>
  <c r="V66" i="13"/>
  <c r="S66" i="13"/>
  <c r="T66" i="13"/>
  <c r="V68" i="13"/>
  <c r="S68" i="13"/>
  <c r="T68" i="13"/>
  <c r="B79" i="13"/>
  <c r="D82" i="13"/>
  <c r="K82" i="13" s="1"/>
  <c r="T2" i="13"/>
  <c r="T12" i="13"/>
  <c r="T22" i="13"/>
  <c r="C80" i="13"/>
  <c r="S36" i="13"/>
  <c r="V36" i="13"/>
  <c r="C81" i="13"/>
  <c r="S37" i="13"/>
  <c r="S38" i="13"/>
  <c r="S39" i="13"/>
  <c r="S40" i="13"/>
  <c r="S41" i="13"/>
  <c r="S43" i="13"/>
  <c r="S45" i="13"/>
  <c r="S47" i="13"/>
  <c r="D54" i="2" l="1"/>
  <c r="D48" i="2"/>
  <c r="D58" i="2"/>
  <c r="D57" i="2"/>
  <c r="D53" i="2"/>
  <c r="D52" i="2"/>
  <c r="N82" i="13"/>
  <c r="O82" i="13"/>
  <c r="O78" i="13"/>
  <c r="M78" i="13"/>
  <c r="N78" i="13"/>
  <c r="B78" i="13"/>
  <c r="B61" i="2"/>
  <c r="F58" i="3" s="1"/>
  <c r="B26" i="2"/>
  <c r="B17" i="2"/>
  <c r="B14" i="2"/>
  <c r="B10" i="2"/>
  <c r="B25" i="2"/>
  <c r="B21" i="2"/>
  <c r="B23" i="2" s="1"/>
  <c r="B20" i="2"/>
  <c r="B19" i="2"/>
  <c r="B18" i="2"/>
  <c r="B13" i="2"/>
  <c r="B12" i="2"/>
  <c r="B11" i="2"/>
  <c r="O80" i="13"/>
  <c r="M80" i="13"/>
  <c r="N80" i="13"/>
  <c r="B80" i="13"/>
  <c r="M79" i="13"/>
  <c r="M77" i="13"/>
  <c r="O81" i="13"/>
  <c r="M81" i="13"/>
  <c r="B81" i="13"/>
  <c r="N81" i="13"/>
  <c r="B77" i="13"/>
  <c r="B62" i="2"/>
  <c r="K58" i="3" s="1"/>
  <c r="B60" i="2"/>
  <c r="A58" i="3" s="1"/>
  <c r="B82" i="13"/>
  <c r="M82" i="13"/>
  <c r="B47" i="2"/>
  <c r="D47" i="2" s="1"/>
  <c r="P52" i="3"/>
  <c r="K52" i="3"/>
  <c r="F52" i="3"/>
  <c r="A52" i="3"/>
  <c r="O41" i="3"/>
  <c r="A41" i="3"/>
  <c r="Q10" i="3"/>
  <c r="I10" i="3"/>
  <c r="A10" i="3"/>
  <c r="H41" i="3"/>
  <c r="M10" i="3"/>
  <c r="E10" i="3"/>
  <c r="N79" i="13"/>
  <c r="N77" i="13"/>
  <c r="B7" i="2"/>
  <c r="J47" i="2" l="1"/>
  <c r="N65" i="3" s="1"/>
  <c r="J46" i="2"/>
  <c r="J50" i="2"/>
  <c r="H15" i="3"/>
  <c r="P49" i="3"/>
  <c r="B16" i="2"/>
  <c r="Q7" i="3"/>
  <c r="A49" i="3"/>
  <c r="B22" i="2"/>
  <c r="K49" i="3"/>
  <c r="A38" i="3"/>
  <c r="C20" i="2"/>
  <c r="C19" i="2"/>
  <c r="B34" i="2" s="1"/>
  <c r="C34" i="2" s="1"/>
  <c r="C18" i="2"/>
  <c r="C17" i="2" a="1"/>
  <c r="C17" i="2" s="1"/>
  <c r="B32" i="2" s="1"/>
  <c r="C32" i="2" s="1" a="1"/>
  <c r="C32" i="2" s="1"/>
  <c r="C12" i="2"/>
  <c r="C11" i="2"/>
  <c r="D11" i="2" s="1"/>
  <c r="C26" i="2"/>
  <c r="C25" i="2" a="1"/>
  <c r="C25" i="2" s="1"/>
  <c r="D25" i="2" s="1"/>
  <c r="C21" i="2" a="1"/>
  <c r="C21" i="2" s="1"/>
  <c r="C23" i="2" s="1"/>
  <c r="D23" i="2" s="1"/>
  <c r="E23" i="2" s="1"/>
  <c r="C14" i="2"/>
  <c r="C13" i="2" a="1"/>
  <c r="C13" i="2" s="1"/>
  <c r="D13" i="2" s="1"/>
  <c r="C10" i="2"/>
  <c r="B10" i="3" s="1"/>
  <c r="J49" i="2"/>
  <c r="J48" i="2"/>
  <c r="A15" i="3"/>
  <c r="O38" i="3"/>
  <c r="E7" i="3"/>
  <c r="B15" i="2"/>
  <c r="F49" i="3"/>
  <c r="O15" i="3"/>
  <c r="A7" i="3"/>
  <c r="M7" i="3"/>
  <c r="J45" i="2"/>
  <c r="K47" i="2" l="1"/>
  <c r="R65" i="3" s="1"/>
  <c r="L47" i="2"/>
  <c r="D21" i="2"/>
  <c r="E21" i="2" s="1"/>
  <c r="D17" i="2"/>
  <c r="N9" i="3" s="1"/>
  <c r="D19" i="2"/>
  <c r="E19" i="2" s="1"/>
  <c r="G53" i="3" s="1"/>
  <c r="N63" i="3"/>
  <c r="K45" i="2"/>
  <c r="R63" i="3" s="1"/>
  <c r="L45" i="2"/>
  <c r="N66" i="3"/>
  <c r="K48" i="2"/>
  <c r="R66" i="3" s="1"/>
  <c r="L48" i="2"/>
  <c r="B41" i="3"/>
  <c r="R10" i="3"/>
  <c r="Q52" i="3"/>
  <c r="C16" i="2"/>
  <c r="D16" i="2" s="1"/>
  <c r="B52" i="3"/>
  <c r="C22" i="2"/>
  <c r="D22" i="2" s="1"/>
  <c r="E22" i="2" s="1"/>
  <c r="E20" i="2"/>
  <c r="L53" i="3" s="1"/>
  <c r="L52" i="3"/>
  <c r="D14" i="2"/>
  <c r="E14" i="2" s="1"/>
  <c r="B42" i="3" s="1"/>
  <c r="B35" i="2"/>
  <c r="C35" i="2" s="1" a="1"/>
  <c r="C35" i="2" s="1"/>
  <c r="D18" i="2"/>
  <c r="E18" i="2" s="1"/>
  <c r="B53" i="3" s="1"/>
  <c r="B33" i="2"/>
  <c r="C33" i="2" s="1"/>
  <c r="D12" i="2"/>
  <c r="E12" i="2" s="1"/>
  <c r="B24" i="2"/>
  <c r="I7" i="3"/>
  <c r="N64" i="3"/>
  <c r="K46" i="2"/>
  <c r="R64" i="3" s="1"/>
  <c r="L46" i="2"/>
  <c r="D26" i="2"/>
  <c r="E26" i="2" s="1"/>
  <c r="D10" i="2"/>
  <c r="H38" i="3"/>
  <c r="N67" i="3"/>
  <c r="K49" i="2"/>
  <c r="R67" i="3" s="1"/>
  <c r="L49" i="2"/>
  <c r="P41" i="3"/>
  <c r="F10" i="3"/>
  <c r="C15" i="2"/>
  <c r="I41" i="3" s="1"/>
  <c r="E13" i="2"/>
  <c r="E25" i="2"/>
  <c r="E11" i="2"/>
  <c r="N10" i="3"/>
  <c r="G52" i="3"/>
  <c r="D20" i="2"/>
  <c r="N68" i="3"/>
  <c r="K50" i="2"/>
  <c r="R68" i="3" s="1"/>
  <c r="L50" i="2"/>
  <c r="E17" i="2" l="1"/>
  <c r="R9" i="3"/>
  <c r="Q53" i="3"/>
  <c r="B9" i="3"/>
  <c r="B37" i="2"/>
  <c r="J10" i="3"/>
  <c r="C24" i="2"/>
  <c r="D24" i="2" s="1"/>
  <c r="E16" i="2"/>
  <c r="J9" i="3" s="1"/>
  <c r="B30" i="2"/>
  <c r="B31" i="2"/>
  <c r="C31" i="2" s="1"/>
  <c r="P42" i="3"/>
  <c r="F9" i="3"/>
  <c r="D15" i="2"/>
  <c r="E15" i="2" s="1"/>
  <c r="I42" i="3" s="1"/>
  <c r="O30" i="3"/>
  <c r="C30" i="2" l="1"/>
  <c r="B40" i="2" s="1"/>
  <c r="B36" i="2"/>
  <c r="B38" i="2" s="1"/>
  <c r="O22" i="3" l="1"/>
  <c r="C40" i="2"/>
  <c r="O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tc={A6B53103-4CAD-821C-F43B-B60F82989FF8}</author>
  </authors>
  <commentList>
    <comment ref="B30" authorId="0" shapeId="0" xr:uid="{00000000-0006-0000-0000-000001000000}">
      <text>
        <r>
          <rPr>
            <sz val="11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Gesamtmengenwirkung = Veränderung der Gesamt-Jahresmengen × AfS-Anteil des Vorjahres × Median des Vorjahres.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<sst xmlns="http://schemas.openxmlformats.org/spreadsheetml/2006/main" count="293" uniqueCount="122">
  <si>
    <t>Auswahljahr</t>
  </si>
  <si>
    <t>Projekt</t>
  </si>
  <si>
    <t>Vorjahr</t>
  </si>
  <si>
    <t>Datenstatus</t>
  </si>
  <si>
    <t>Datenzeilen aktuell</t>
  </si>
  <si>
    <t>Datenzeilen Vorjahr</t>
  </si>
  <si>
    <t>Kennzahl</t>
  </si>
  <si>
    <t>Aktuell</t>
  </si>
  <si>
    <t>Δ absolut</t>
  </si>
  <si>
    <t>Δ % / pp</t>
  </si>
  <si>
    <t>Refinanzierungssaldo</t>
  </si>
  <si>
    <t>Refinanzierungsertrag</t>
  </si>
  <si>
    <t>erweiterte Teilkosten</t>
  </si>
  <si>
    <t>KLR-Jahresmengen</t>
  </si>
  <si>
    <t>Gesamt-Jahresmengen</t>
  </si>
  <si>
    <t>KLR-relevanter AfS-Anteil</t>
  </si>
  <si>
    <t>Stückkosten</t>
  </si>
  <si>
    <t>Median</t>
  </si>
  <si>
    <t>Zuwendung</t>
  </si>
  <si>
    <t>IKT</t>
  </si>
  <si>
    <t>Transferkosten</t>
  </si>
  <si>
    <t>Projektkosten</t>
  </si>
  <si>
    <t>Zuwendungsanteil</t>
  </si>
  <si>
    <t>Dritt-/Eigenmittelanteil</t>
  </si>
  <si>
    <t>Deckungsbeitrag je KLR-Menge</t>
  </si>
  <si>
    <t>Jahresmengen laufend</t>
  </si>
  <si>
    <t>KLR-Mengen laufend</t>
  </si>
  <si>
    <t>KLR-Monat</t>
  </si>
  <si>
    <t>Treiber</t>
  </si>
  <si>
    <t>Beitrag zur Δ Saldo</t>
  </si>
  <si>
    <t>Betrag absolut</t>
  </si>
  <si>
    <t>Gesamtmengenwirkung</t>
  </si>
  <si>
    <t>Wirkung AfS-Anteil</t>
  </si>
  <si>
    <t>Medianwirkung</t>
  </si>
  <si>
    <t>Zuwendungswirkung</t>
  </si>
  <si>
    <t>IKT-Wirkung</t>
  </si>
  <si>
    <t>Transferkostenwirkung</t>
  </si>
  <si>
    <t>Summe Treiber</t>
  </si>
  <si>
    <t>Δ Refinanzierungssaldo</t>
  </si>
  <si>
    <t>Restdifferenz</t>
  </si>
  <si>
    <t>Größter Treiber</t>
  </si>
  <si>
    <t>Jahr</t>
  </si>
  <si>
    <t>Stückkosten je KLR-Menge</t>
  </si>
  <si>
    <t>Medianpreis je KLR-Menge</t>
  </si>
  <si>
    <t>Erweiterte Teilkosten</t>
  </si>
  <si>
    <t>Δ zum Vorjahr</t>
  </si>
  <si>
    <t>1 | Refinanzierung: Wie entsteht der Saldo?</t>
  </si>
  <si>
    <t>−</t>
  </si>
  <si>
    <t>=</t>
  </si>
  <si>
    <t>KLR-Jahresmengen × Medianpreis</t>
  </si>
  <si>
    <t>Zuwendung + IKT + Transferkosten</t>
  </si>
  <si>
    <t>Ertrag − erweiterte Teilkosten</t>
  </si>
  <si>
    <t>Größter Treiber zum Vorjahr</t>
  </si>
  <si>
    <t>Beitrag zur Veränderung des Saldos</t>
  </si>
  <si>
    <t>2 | Mengenpfad: Gesamtmengen × KLR-relevanter AfS-Anteil = KLR-Mengen</t>
  </si>
  <si>
    <t>×</t>
  </si>
  <si>
    <t>3 | Kostenpfad: Zuwendung + IKT + Transferkosten = erweiterte Teilkosten</t>
  </si>
  <si>
    <t>+</t>
  </si>
  <si>
    <t>4 | Portfolio-Blick: Wo liegen die größten negativen Salden?</t>
  </si>
  <si>
    <t>Portfolio-Saldo</t>
  </si>
  <si>
    <t>Defizitprojekte</t>
  </si>
  <si>
    <t>Überschussprojekte</t>
  </si>
  <si>
    <t>Projekte insgesamt</t>
  </si>
  <si>
    <t>Saldo</t>
  </si>
  <si>
    <t>Die Rangliste bleibt auf das ausgewählte Jahr bezogen. Für die Ursachenanalyse eines Projekts oben im Auswahlfeld das Projekt wählen.</t>
  </si>
  <si>
    <t>Dashboard 80681 – Steuerung und Berechnungen</t>
  </si>
  <si>
    <t>Jahres-Auswahlliste</t>
  </si>
  <si>
    <t>Projekt-Auswahlliste</t>
  </si>
  <si>
    <t>Gesamtportfolio</t>
  </si>
  <si>
    <t>Medizinische Betreuung Obdachloser</t>
  </si>
  <si>
    <t>Café Krause</t>
  </si>
  <si>
    <t>WoTa "Am Wassertor"</t>
  </si>
  <si>
    <t>EHAP-Projekt</t>
  </si>
  <si>
    <t>WoTa Kiez Cafe</t>
  </si>
  <si>
    <t>WoTa Bürgerhilfe</t>
  </si>
  <si>
    <t>Sprachmittler für Bewohner der Str.d.Pariser Kommune</t>
  </si>
  <si>
    <t>Weihnachtsfeier für Wohnungslose Männer</t>
  </si>
  <si>
    <t>EHAP-Projekt (Weihnachtsaktion)</t>
  </si>
  <si>
    <t>Notunterkunft Ohlauer Straße</t>
  </si>
  <si>
    <t>Versorgung Obdachloser Menschen mit Lebensmitteln und Hygieneartikel</t>
  </si>
  <si>
    <t>Johanniter</t>
  </si>
  <si>
    <t>Warmlufthalle am Containerbahnhof</t>
  </si>
  <si>
    <t>Solidarisches Kreuzberg, Fest am 24.12.2022 für Wohnungslose</t>
  </si>
  <si>
    <t>Safe Place</t>
  </si>
  <si>
    <t>Projektliste / Portfolio-Ranking</t>
  </si>
  <si>
    <t>vorhanden</t>
  </si>
  <si>
    <t>Sortierwert</t>
  </si>
  <si>
    <t>Kurzlabel</t>
  </si>
  <si>
    <t>Finanzierungssteuerung – Produkt 80681</t>
  </si>
  <si>
    <t>Refinanzierungssaldo, Mengen- und Kostentreiber | Friedrichshain-Kreuzberg | 2021–2026</t>
  </si>
  <si>
    <t>Der KLR-relevante AfS-Anteil wird als KLR-Jahresmengen ÷ Gesamt-Jahresmengen berechnet. Für 2021–2024 werden die in der Quelle fehlenden Gesamt-Jahresmengen aus KLR-Jahresmengen und Zuwendungsanteil rekonstruiert.</t>
  </si>
  <si>
    <t>Leselogik: 2026 ist eine Hochrechnung auf Basis der laufenden Mengen; 2021–2025 sind Jahresabschlusswerte. Der Refinanzierungssaldo entspricht Refinanzierungsertrag minus erweiterte Teilkosten. Positive Treiberbeiträge verbessern, negative Beiträge belasten den Saldo.</t>
  </si>
  <si>
    <t>Träger</t>
  </si>
  <si>
    <t>Drittmittel</t>
  </si>
  <si>
    <t>Eigenmittel</t>
  </si>
  <si>
    <t>sonstige Einnahmen</t>
  </si>
  <si>
    <t>Projektkosten (Quelle)</t>
  </si>
  <si>
    <t>SOLL-Mengen</t>
  </si>
  <si>
    <t>GEBEWO</t>
  </si>
  <si>
    <t>KG St.Thomas</t>
  </si>
  <si>
    <t>Diakonie</t>
  </si>
  <si>
    <t>AWO</t>
  </si>
  <si>
    <t>Bürgerhilfe e.v</t>
  </si>
  <si>
    <t>RAA Berlin e.V.</t>
  </si>
  <si>
    <t>Neue Chance Berlin</t>
  </si>
  <si>
    <t>Odach e.V.</t>
  </si>
  <si>
    <t>Berliner Stadtmission e.V.</t>
  </si>
  <si>
    <t>FsJU e.V.</t>
  </si>
  <si>
    <t>Ev. KG Kreuzberg</t>
  </si>
  <si>
    <t>EJF gAG</t>
  </si>
  <si>
    <t>Datenbasis: Werte aus Daten_fest für 2021–2026. Die Dashboard-Kennzahlen werden intern neu berechnet. Für 2021–2024 werden fehlende Gesamt-Jahresmengen aus KLR-Jahresmengen und Zuwendungsanteil rekonstruiert; ab 2025 werden die direkt vorliegenden Gesamtmengen verwendet.</t>
  </si>
  <si>
    <t>Auswertungsbereich Entwicklung – direkt aus der Datentabelle</t>
  </si>
  <si>
    <t>Steuerungslogik: Spalten B–L reagieren auf die Projektauswahl im Blatt Entwicklung. Spalten M–P bleiben ein unveränderter Portfolio-Blick. 2026 ist eine Hochrechnung.</t>
  </si>
  <si>
    <t>ENTWICKLUNG 2021–2026 | PRODUKT 80-68-1</t>
  </si>
  <si>
    <t>Zeitliche Entwicklung der vier Steuerungsperspektiven · 2021–2025 Jahresabschluss · 2026 Hochrechnung</t>
  </si>
  <si>
    <t>Projektauswahl</t>
  </si>
  <si>
    <t>Punkte 1–3 folgen der Auswahl. Punkt 4 bleibt ein unveränderter Portfolio-Blick.</t>
  </si>
  <si>
    <t>1 | FINANZIELLE ENTWICKLUNG – Ertrag, Teilkosten und Saldo</t>
  </si>
  <si>
    <t>2 | MENGENENTWICKLUNG – Gesamtmengen, KLR-Mengen und AfS-Anteil</t>
  </si>
  <si>
    <t>3 | KOSTENPFAD – Zuwendung, IKT, Transferkosten und erweiterte Teilkosten</t>
  </si>
  <si>
    <t>4 | PORTFOLIO-ENTWICKLUNG – Gesamtwirkung und Projektstruktur</t>
  </si>
  <si>
    <t>Einordnung: 2021–2025 basieren auf Jahresabschlüssen, 2026 ist eine Hochrechnung. Die Gesamt-Jahresmengen 2021–2024 wurden aus den vorliegenden Jahreswerten rekonstruiert. Projektjahre ohne Datensatz werden in den Diagrammen als Lücke dargestellt.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</si>
</sst>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"/>
    <numFmt numFmtId="165" formatCode="#,##0\ &quot;€&quot;;\-#,##0\ &quot;€&quot;;\-"/>
    <numFmt numFmtId="166" formatCode="#,##0;\-#,##0;\-"/>
    <numFmt numFmtId="167" formatCode="0.00\ &quot;€&quot;;\-0.00\ &quot;€&quot;;\-"/>
    <numFmt numFmtId="168" formatCode="\+0.0\ &quot;pp&quot;;\-0.0\ &quot;pp&quot;;\-"/>
    <numFmt numFmtId="169" formatCode="\+0.0%;\-0.0%;\-"/>
    <numFmt numFmtId="170" formatCode="\+#,##0\ &quot;€&quot;;\-#,##0\ &quot;€&quot;;\-"/>
    <numFmt numFmtId="171" formatCode="\+0.00\ &quot;€&quot;;\-0.00\ &quot;€&quot;;\-"/>
    <numFmt numFmtId="172" formatCode="\+0.0\ &quot;%&quot;;\-0.0\ &quot;%&quot;;\-"/>
    <numFmt numFmtId="173" formatCode="#,##0\ &quot;€&quot;;[Red]\-#,##0\ &quot;€&quot;;\-"/>
  </numFmts>
  <fonts count="54" x14ac:knownFonts="1">
    <font>
      <sz val="11"/>
      <color theme="1"/>
      <name val="Calibri"/>
    </font>
    <font>
      <sz val="11"/>
      <color theme="1"/>
      <name val="Berlin Type Office"/>
      <family val="2"/>
    </font>
    <font>
      <sz val="11"/>
      <color theme="1"/>
      <name val="Calibri"/>
      <family val="2"/>
    </font>
    <font>
      <b/>
      <sz val="9"/>
      <color rgb="FFFFFFFF"/>
      <name val="Arial"/>
      <family val="2"/>
    </font>
    <font>
      <sz val="9"/>
      <color rgb="FF242424"/>
      <name val="Arial"/>
      <family val="2"/>
    </font>
    <font>
      <i/>
      <sz val="9"/>
      <color rgb="FF555555"/>
      <name val="Arial"/>
      <family val="2"/>
    </font>
    <font>
      <b/>
      <sz val="14"/>
      <color rgb="FFFFFFFF"/>
      <name val="Arial"/>
      <family val="2"/>
    </font>
    <font>
      <sz val="10"/>
      <color rgb="FF242424"/>
      <name val="Arial"/>
      <family val="2"/>
    </font>
    <font>
      <b/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Berlin Type Office"/>
      <family val="2"/>
    </font>
    <font>
      <sz val="11"/>
      <color theme="1"/>
      <name val="Berlin Type Office"/>
      <family val="2"/>
    </font>
    <font>
      <sz val="10"/>
      <color rgb="FFFFFFFF"/>
      <name val="Berlin Type Office"/>
      <family val="2"/>
    </font>
    <font>
      <sz val="10"/>
      <color rgb="FF242424"/>
      <name val="Berlin Type Office"/>
      <family val="2"/>
    </font>
    <font>
      <b/>
      <sz val="10"/>
      <color rgb="FF555555"/>
      <name val="Berlin Type Office"/>
      <family val="2"/>
    </font>
    <font>
      <b/>
      <sz val="11"/>
      <color rgb="FF242424"/>
      <name val="Berlin Type Office"/>
      <family val="2"/>
    </font>
    <font>
      <i/>
      <sz val="10"/>
      <color rgb="FF555555"/>
      <name val="Berlin Type Office"/>
      <family val="2"/>
    </font>
    <font>
      <sz val="9"/>
      <color rgb="FF555555"/>
      <name val="Berlin Type Office"/>
      <family val="2"/>
    </font>
    <font>
      <b/>
      <sz val="10"/>
      <color rgb="FF242424"/>
      <name val="Berlin Type Office"/>
      <family val="2"/>
    </font>
    <font>
      <b/>
      <sz val="18"/>
      <color rgb="FF242424"/>
      <name val="Berlin Type Office"/>
      <family val="2"/>
    </font>
    <font>
      <sz val="8"/>
      <color rgb="FF555555"/>
      <name val="Berlin Type Office"/>
      <family val="2"/>
    </font>
    <font>
      <sz val="10"/>
      <color rgb="FF555555"/>
      <name val="Berlin Type Office"/>
      <family val="2"/>
    </font>
    <font>
      <b/>
      <sz val="11"/>
      <color rgb="FFFFFFFF"/>
      <name val="Berlin Type Office"/>
      <family val="2"/>
    </font>
    <font>
      <b/>
      <sz val="24"/>
      <color rgb="FF7A5E00"/>
      <name val="Berlin Type Office"/>
      <family val="2"/>
    </font>
    <font>
      <b/>
      <sz val="17"/>
      <color rgb="FF242424"/>
      <name val="Berlin Type Office"/>
      <family val="2"/>
    </font>
    <font>
      <b/>
      <sz val="14"/>
      <color rgb="FF242424"/>
      <name val="Berlin Type Office"/>
      <family val="2"/>
    </font>
    <font>
      <b/>
      <sz val="14"/>
      <color rgb="FF6F3C78"/>
      <name val="Berlin Type Office"/>
      <family val="2"/>
    </font>
    <font>
      <b/>
      <sz val="9"/>
      <color rgb="FF242424"/>
      <name val="Berlin Type Office"/>
      <family val="2"/>
    </font>
    <font>
      <i/>
      <sz val="8"/>
      <color rgb="FF555555"/>
      <name val="Berlin Type Office"/>
      <family val="2"/>
    </font>
    <font>
      <b/>
      <sz val="24"/>
      <color rgb="FF28678A"/>
      <name val="Berlin Type Office"/>
      <family val="2"/>
    </font>
    <font>
      <b/>
      <sz val="22"/>
      <color rgb="FFB86432"/>
      <name val="Berlin Type Office"/>
      <family val="2"/>
    </font>
    <font>
      <b/>
      <sz val="15"/>
      <color rgb="FF242424"/>
      <name val="Berlin Type Office"/>
      <family val="2"/>
    </font>
    <font>
      <b/>
      <sz val="16"/>
      <color rgb="FF242424"/>
      <name val="Berlin Type Office"/>
      <family val="2"/>
    </font>
    <font>
      <b/>
      <sz val="9"/>
      <color rgb="FFFFFFFF"/>
      <name val="Berlin Type Office"/>
      <family val="2"/>
    </font>
    <font>
      <sz val="9"/>
      <color rgb="FF242424"/>
      <name val="Berlin Type Office"/>
      <family val="2"/>
    </font>
    <font>
      <i/>
      <sz val="9"/>
      <color rgb="FF555555"/>
      <name val="Berlin Type Office"/>
      <family val="2"/>
    </font>
    <font>
      <sz val="9"/>
      <color rgb="FFFFFFFF"/>
      <name val="Berlin Type Office"/>
      <family val="2"/>
    </font>
    <font>
      <b/>
      <sz val="11"/>
      <color rgb="FFFFFFFF"/>
      <name val="Calibri"/>
      <family val="2"/>
    </font>
    <font>
      <i/>
      <sz val="9"/>
      <color rgb="FF6B6B6B"/>
      <name val="Aptos"/>
      <family val="2"/>
    </font>
    <font>
      <b/>
      <sz val="11"/>
      <color rgb="FFFFFFFF"/>
      <name val="Aptos"/>
      <family val="2"/>
    </font>
    <font>
      <b/>
      <sz val="9"/>
      <color rgb="FFFFFFFF"/>
      <name val="Aptos"/>
      <family val="2"/>
    </font>
    <font>
      <sz val="9"/>
      <color rgb="FF333333"/>
      <name val="Aptos"/>
      <family val="2"/>
    </font>
    <font>
      <b/>
      <sz val="20"/>
      <color rgb="FFFFFFFF"/>
      <name val="Berlin Type Office"/>
      <family val="2"/>
    </font>
    <font>
      <sz val="11"/>
      <color theme="1"/>
      <name val="Berlin Type Office"/>
      <family val="2"/>
    </font>
    <font>
      <sz val="10"/>
      <color rgb="FFFFFFFF"/>
      <name val="Berlin Type Office"/>
      <family val="2"/>
    </font>
    <font>
      <sz val="10"/>
      <color rgb="FF333333"/>
      <name val="Berlin Type Office"/>
      <family val="2"/>
    </font>
    <font>
      <b/>
      <sz val="10"/>
      <color rgb="FFFFFFFF"/>
      <name val="Berlin Type Office"/>
      <family val="2"/>
    </font>
    <font>
      <b/>
      <sz val="11"/>
      <color rgb="FF222222"/>
      <name val="Berlin Type Office"/>
      <family val="2"/>
    </font>
    <font>
      <i/>
      <sz val="10"/>
      <color rgb="FF6B6B6B"/>
      <name val="Berlin Type Office"/>
      <family val="2"/>
    </font>
    <font>
      <b/>
      <sz val="12"/>
      <color rgb="FFFFFFFF"/>
      <name val="Berlin Type Office"/>
      <family val="2"/>
    </font>
    <font>
      <i/>
      <sz val="9"/>
      <color rgb="FF6B6B6B"/>
      <name val="Berlin Type Office"/>
      <family val="2"/>
    </font>
    <font>
      <b/>
      <sz val="10"/>
      <color theme="0"/>
      <name val="Berlin Type Office"/>
      <family val="2"/>
    </font>
    <font>
      <b/>
      <sz val="9"/>
      <color theme="0"/>
      <name val="Berlin Type Office"/>
      <family val="2"/>
    </font>
    <font>
      <b/>
      <sz val="10"/>
      <color rgb="FF555555"/>
      <name val="Berlin Type Office"/>
      <family val="2"/>
    </font>
  </fonts>
  <fills count="28">
    <fill>
      <patternFill patternType="none"/>
    </fill>
    <fill>
      <patternFill patternType="gray125"/>
    </fill>
    <fill>
      <patternFill patternType="solid">
        <fgColor rgb="FFB58B00"/>
      </patternFill>
    </fill>
    <fill>
      <patternFill patternType="solid">
        <fgColor rgb="FFECEAE5"/>
      </patternFill>
    </fill>
    <fill>
      <patternFill patternType="solid">
        <fgColor rgb="FF242424"/>
      </patternFill>
    </fill>
    <fill>
      <patternFill patternType="solid">
        <fgColor rgb="FFFFFFFF"/>
      </patternFill>
    </fill>
    <fill>
      <patternFill patternType="solid">
        <fgColor rgb="FF28678A"/>
      </patternFill>
    </fill>
    <fill>
      <patternFill patternType="solid">
        <fgColor rgb="FF6F3C78"/>
      </patternFill>
    </fill>
    <fill>
      <patternFill patternType="solid">
        <fgColor rgb="FFF4F3F0"/>
      </patternFill>
    </fill>
    <fill>
      <patternFill patternType="solid">
        <fgColor rgb="FF7A5E00"/>
      </patternFill>
    </fill>
    <fill>
      <patternFill patternType="solid">
        <fgColor rgb="FFF3E8B8"/>
      </patternFill>
    </fill>
    <fill>
      <patternFill patternType="solid">
        <fgColor rgb="FFC59B00"/>
      </patternFill>
    </fill>
    <fill>
      <patternFill patternType="solid">
        <fgColor rgb="FF222222"/>
      </patternFill>
    </fill>
    <fill>
      <patternFill patternType="solid">
        <fgColor rgb="FFFFF1B8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59B00"/>
      </patternFill>
    </fill>
    <fill>
      <patternFill patternType="solid">
        <fgColor rgb="FF816600"/>
      </patternFill>
    </fill>
    <fill>
      <patternFill patternType="solid">
        <fgColor rgb="FF222222"/>
      </patternFill>
    </fill>
    <fill>
      <patternFill patternType="solid">
        <fgColor rgb="FFC59B00"/>
      </patternFill>
    </fill>
    <fill>
      <patternFill patternType="solid">
        <fgColor rgb="FFFFFFFF"/>
      </patternFill>
    </fill>
    <fill>
      <patternFill patternType="solid">
        <fgColor rgb="FFFFF1B8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D6F8E"/>
        <bgColor indexed="64"/>
      </patternFill>
    </fill>
    <fill>
      <patternFill patternType="solid">
        <fgColor rgb="FFC46A32"/>
        <bgColor indexed="64"/>
      </patternFill>
    </fill>
    <fill>
      <patternFill patternType="solid">
        <fgColor rgb="FF7A3E87"/>
        <bgColor indexed="64"/>
      </patternFill>
    </fill>
    <fill>
      <patternFill patternType="solid">
        <fgColor theme="9"/>
        <bgColor indexed="64"/>
      </patternFill>
    </fill>
  </fills>
  <borders count="40">
    <border>
      <left/>
      <right/>
      <top/>
      <bottom/>
      <diagonal/>
    </border>
    <border>
      <left style="thin">
        <color rgb="FF7A5E00"/>
      </left>
      <right style="thin">
        <color rgb="FF7A5E00"/>
      </right>
      <top style="thin">
        <color rgb="FF7A5E00"/>
      </top>
      <bottom style="thin">
        <color rgb="FF7A5E00"/>
      </bottom>
      <diagonal/>
    </border>
    <border>
      <left style="thin">
        <color rgb="FFD8D4CC"/>
      </left>
      <right style="thin">
        <color rgb="FFD8D4CC"/>
      </right>
      <top style="thin">
        <color rgb="FFD8D4CC"/>
      </top>
      <bottom style="thin">
        <color rgb="FFD8D4CC"/>
      </bottom>
      <diagonal/>
    </border>
    <border>
      <left/>
      <right style="thin">
        <color rgb="FFD8D4CC"/>
      </right>
      <top/>
      <bottom style="thin">
        <color rgb="FFD8D4CC"/>
      </bottom>
      <diagonal/>
    </border>
    <border>
      <left style="thin">
        <color rgb="FFD8D4CC"/>
      </left>
      <right style="thin">
        <color rgb="FFD8D4CC"/>
      </right>
      <top/>
      <bottom style="thin">
        <color rgb="FFD8D4CC"/>
      </bottom>
      <diagonal/>
    </border>
    <border>
      <left style="thin">
        <color rgb="FFD8D4CC"/>
      </left>
      <right/>
      <top/>
      <bottom style="thin">
        <color rgb="FFD8D4CC"/>
      </bottom>
      <diagonal/>
    </border>
    <border>
      <left/>
      <right style="thin">
        <color rgb="FFD8D4CC"/>
      </right>
      <top style="thin">
        <color rgb="FFD8D4CC"/>
      </top>
      <bottom style="thin">
        <color rgb="FFD8D4CC"/>
      </bottom>
      <diagonal/>
    </border>
    <border>
      <left style="thin">
        <color rgb="FFD8D4CC"/>
      </left>
      <right/>
      <top style="thin">
        <color rgb="FFD8D4CC"/>
      </top>
      <bottom style="thin">
        <color rgb="FFD8D4CC"/>
      </bottom>
      <diagonal/>
    </border>
    <border>
      <left/>
      <right style="thin">
        <color rgb="FFD8D4CC"/>
      </right>
      <top style="thin">
        <color rgb="FFD8D4CC"/>
      </top>
      <bottom/>
      <diagonal/>
    </border>
    <border>
      <left style="thin">
        <color rgb="FFD8D4CC"/>
      </left>
      <right style="thin">
        <color rgb="FFD8D4CC"/>
      </right>
      <top style="thin">
        <color rgb="FFD8D4CC"/>
      </top>
      <bottom/>
      <diagonal/>
    </border>
    <border>
      <left style="thin">
        <color rgb="FFD8D4CC"/>
      </left>
      <right/>
      <top style="thin">
        <color rgb="FFD8D4CC"/>
      </top>
      <bottom/>
      <diagonal/>
    </border>
    <border>
      <left/>
      <right/>
      <top style="thin">
        <color rgb="FFD8D4CC"/>
      </top>
      <bottom/>
      <diagonal/>
    </border>
    <border>
      <left style="thin">
        <color rgb="FFD8D4CC"/>
      </left>
      <right/>
      <top/>
      <bottom/>
      <diagonal/>
    </border>
    <border>
      <left/>
      <right style="thin">
        <color rgb="FFD8D4CC"/>
      </right>
      <top/>
      <bottom/>
      <diagonal/>
    </border>
    <border>
      <left/>
      <right/>
      <top/>
      <bottom style="thin">
        <color rgb="FFD8D4CC"/>
      </bottom>
      <diagonal/>
    </border>
    <border>
      <left style="thin">
        <color rgb="FFD8D4CC"/>
      </left>
      <right style="thin">
        <color rgb="FFD8D4CC"/>
      </right>
      <top/>
      <bottom/>
      <diagonal/>
    </border>
    <border>
      <left/>
      <right/>
      <top/>
      <bottom style="thin">
        <color rgb="FFD5D5D5"/>
      </bottom>
      <diagonal/>
    </border>
    <border>
      <left style="thin">
        <color rgb="FFC59B00"/>
      </left>
      <right/>
      <top style="thin">
        <color rgb="FFC59B00"/>
      </top>
      <bottom style="thin">
        <color rgb="FFC59B00"/>
      </bottom>
      <diagonal/>
    </border>
    <border>
      <left/>
      <right/>
      <top style="thin">
        <color rgb="FFC59B00"/>
      </top>
      <bottom style="thin">
        <color rgb="FFC59B00"/>
      </bottom>
      <diagonal/>
    </border>
    <border>
      <left/>
      <right style="thin">
        <color rgb="FFC59B00"/>
      </right>
      <top style="thin">
        <color rgb="FFC59B00"/>
      </top>
      <bottom style="thin">
        <color rgb="FFC59B00"/>
      </bottom>
      <diagonal/>
    </border>
    <border>
      <left/>
      <right/>
      <top style="thin">
        <color rgb="FFD5D5D5"/>
      </top>
      <bottom/>
      <diagonal/>
    </border>
    <border>
      <left/>
      <right/>
      <top style="thin">
        <color rgb="FFD5D5D5"/>
      </top>
      <bottom style="thin">
        <color rgb="FFD5D5D5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4">
    <xf numFmtId="0" fontId="0" fillId="0" borderId="0" xfId="0"/>
    <xf numFmtId="0" fontId="1" fillId="0" borderId="0" xfId="0" applyFont="1"/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166" fontId="4" fillId="0" borderId="0" xfId="0" applyNumberFormat="1" applyFont="1" applyFill="1" applyBorder="1" applyAlignment="1">
      <alignment vertical="center"/>
    </xf>
    <xf numFmtId="167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/>
    <xf numFmtId="0" fontId="8" fillId="5" borderId="2" xfId="0" applyNumberFormat="1" applyFont="1" applyFill="1" applyBorder="1"/>
    <xf numFmtId="0" fontId="7" fillId="0" borderId="6" xfId="0" applyNumberFormat="1" applyFont="1" applyFill="1" applyBorder="1"/>
    <xf numFmtId="0" fontId="7" fillId="0" borderId="2" xfId="0" applyNumberFormat="1" applyFont="1" applyFill="1" applyBorder="1"/>
    <xf numFmtId="0" fontId="7" fillId="0" borderId="7" xfId="0" applyNumberFormat="1" applyFont="1" applyFill="1" applyBorder="1"/>
    <xf numFmtId="0" fontId="7" fillId="0" borderId="8" xfId="0" applyNumberFormat="1" applyFont="1" applyFill="1" applyBorder="1"/>
    <xf numFmtId="0" fontId="7" fillId="0" borderId="9" xfId="0" applyNumberFormat="1" applyFont="1" applyFill="1" applyBorder="1"/>
    <xf numFmtId="0" fontId="7" fillId="0" borderId="10" xfId="0" applyNumberFormat="1" applyFont="1" applyFill="1" applyBorder="1"/>
    <xf numFmtId="0" fontId="9" fillId="2" borderId="3" xfId="0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center" vertical="center"/>
    </xf>
    <xf numFmtId="0" fontId="8" fillId="0" borderId="6" xfId="0" applyNumberFormat="1" applyFont="1" applyFill="1" applyBorder="1"/>
    <xf numFmtId="0" fontId="8" fillId="0" borderId="8" xfId="0" applyNumberFormat="1" applyFont="1" applyFill="1" applyBorder="1"/>
    <xf numFmtId="165" fontId="7" fillId="0" borderId="2" xfId="0" applyNumberFormat="1" applyFont="1" applyFill="1" applyBorder="1"/>
    <xf numFmtId="166" fontId="7" fillId="0" borderId="2" xfId="0" applyNumberFormat="1" applyFont="1" applyFill="1" applyBorder="1"/>
    <xf numFmtId="164" fontId="7" fillId="0" borderId="2" xfId="0" applyNumberFormat="1" applyFont="1" applyFill="1" applyBorder="1"/>
    <xf numFmtId="168" fontId="7" fillId="0" borderId="7" xfId="0" applyNumberFormat="1" applyFont="1" applyFill="1" applyBorder="1"/>
    <xf numFmtId="167" fontId="7" fillId="0" borderId="2" xfId="0" applyNumberFormat="1" applyFont="1" applyFill="1" applyBorder="1"/>
    <xf numFmtId="169" fontId="7" fillId="0" borderId="7" xfId="0" applyNumberFormat="1" applyFont="1" applyFill="1" applyBorder="1"/>
    <xf numFmtId="166" fontId="7" fillId="0" borderId="9" xfId="0" applyNumberFormat="1" applyFont="1" applyFill="1" applyBorder="1"/>
    <xf numFmtId="0" fontId="9" fillId="6" borderId="3" xfId="0" applyNumberFormat="1" applyFont="1" applyFill="1" applyBorder="1"/>
    <xf numFmtId="0" fontId="9" fillId="6" borderId="4" xfId="0" applyNumberFormat="1" applyFont="1" applyFill="1" applyBorder="1"/>
    <xf numFmtId="0" fontId="9" fillId="6" borderId="5" xfId="0" applyNumberFormat="1" applyFont="1" applyFill="1" applyBorder="1"/>
    <xf numFmtId="165" fontId="7" fillId="0" borderId="7" xfId="0" applyNumberFormat="1" applyFont="1" applyFill="1" applyBorder="1"/>
    <xf numFmtId="165" fontId="7" fillId="0" borderId="10" xfId="0" applyNumberFormat="1" applyFont="1" applyFill="1" applyBorder="1"/>
    <xf numFmtId="0" fontId="4" fillId="0" borderId="6" xfId="0" applyNumberFormat="1" applyFont="1" applyFill="1" applyBorder="1"/>
    <xf numFmtId="0" fontId="4" fillId="0" borderId="2" xfId="0" applyNumberFormat="1" applyFont="1" applyFill="1" applyBorder="1"/>
    <xf numFmtId="0" fontId="4" fillId="0" borderId="7" xfId="0" applyNumberFormat="1" applyFont="1" applyFill="1" applyBorder="1"/>
    <xf numFmtId="0" fontId="4" fillId="0" borderId="8" xfId="0" applyNumberFormat="1" applyFont="1" applyFill="1" applyBorder="1"/>
    <xf numFmtId="0" fontId="4" fillId="0" borderId="9" xfId="0" applyNumberFormat="1" applyFont="1" applyFill="1" applyBorder="1"/>
    <xf numFmtId="0" fontId="4" fillId="0" borderId="10" xfId="0" applyNumberFormat="1" applyFont="1" applyFill="1" applyBorder="1"/>
    <xf numFmtId="0" fontId="3" fillId="2" borderId="3" xfId="0" applyNumberFormat="1" applyFont="1" applyFill="1" applyBorder="1"/>
    <xf numFmtId="0" fontId="3" fillId="2" borderId="4" xfId="0" applyNumberFormat="1" applyFont="1" applyFill="1" applyBorder="1"/>
    <xf numFmtId="0" fontId="3" fillId="2" borderId="5" xfId="0" applyNumberFormat="1" applyFont="1" applyFill="1" applyBorder="1"/>
    <xf numFmtId="165" fontId="4" fillId="0" borderId="2" xfId="0" applyNumberFormat="1" applyFont="1" applyFill="1" applyBorder="1"/>
    <xf numFmtId="165" fontId="4" fillId="0" borderId="9" xfId="0" applyNumberFormat="1" applyFont="1" applyFill="1" applyBorder="1"/>
    <xf numFmtId="0" fontId="3" fillId="7" borderId="3" xfId="0" applyNumberFormat="1" applyFont="1" applyFill="1" applyBorder="1"/>
    <xf numFmtId="0" fontId="3" fillId="7" borderId="5" xfId="0" applyNumberFormat="1" applyFont="1" applyFill="1" applyBorder="1"/>
    <xf numFmtId="165" fontId="4" fillId="0" borderId="7" xfId="0" applyNumberFormat="1" applyFont="1" applyFill="1" applyBorder="1"/>
    <xf numFmtId="165" fontId="4" fillId="0" borderId="10" xfId="0" applyNumberFormat="1" applyFont="1" applyFill="1" applyBorder="1"/>
    <xf numFmtId="165" fontId="7" fillId="5" borderId="2" xfId="0" applyNumberFormat="1" applyFont="1" applyFill="1" applyBorder="1"/>
    <xf numFmtId="0" fontId="11" fillId="0" borderId="0" xfId="0" applyFont="1"/>
    <xf numFmtId="0" fontId="13" fillId="8" borderId="0" xfId="0" applyNumberFormat="1" applyFont="1" applyFill="1" applyBorder="1" applyAlignment="1">
      <alignment vertical="center"/>
    </xf>
    <xf numFmtId="0" fontId="20" fillId="5" borderId="12" xfId="0" applyNumberFormat="1" applyFont="1" applyFill="1" applyBorder="1" applyAlignment="1">
      <alignment vertical="center"/>
    </xf>
    <xf numFmtId="0" fontId="13" fillId="5" borderId="5" xfId="0" applyNumberFormat="1" applyFont="1" applyFill="1" applyBorder="1" applyAlignment="1">
      <alignment vertical="center"/>
    </xf>
    <xf numFmtId="0" fontId="13" fillId="5" borderId="12" xfId="0" applyNumberFormat="1" applyFont="1" applyFill="1" applyBorder="1" applyAlignment="1">
      <alignment vertical="center"/>
    </xf>
    <xf numFmtId="0" fontId="13" fillId="5" borderId="0" xfId="0" applyNumberFormat="1" applyFont="1" applyFill="1" applyBorder="1" applyAlignment="1">
      <alignment vertical="center"/>
    </xf>
    <xf numFmtId="0" fontId="13" fillId="5" borderId="13" xfId="0" applyNumberFormat="1" applyFont="1" applyFill="1" applyBorder="1" applyAlignment="1">
      <alignment vertical="center"/>
    </xf>
    <xf numFmtId="0" fontId="20" fillId="5" borderId="12" xfId="0" applyNumberFormat="1" applyFont="1" applyFill="1" applyBorder="1" applyAlignment="1">
      <alignment horizontal="left" vertical="center"/>
    </xf>
    <xf numFmtId="0" fontId="40" fillId="19" borderId="0" xfId="0" applyNumberFormat="1" applyFont="1" applyFill="1" applyBorder="1" applyAlignment="1">
      <alignment horizontal="center" vertical="center" wrapText="1"/>
    </xf>
    <xf numFmtId="1" fontId="41" fillId="20" borderId="16" xfId="0" applyNumberFormat="1" applyFont="1" applyFill="1" applyBorder="1" applyAlignment="1">
      <alignment vertical="center"/>
    </xf>
    <xf numFmtId="1" fontId="41" fillId="20" borderId="21" xfId="0" applyNumberFormat="1" applyFont="1" applyFill="1" applyBorder="1" applyAlignment="1">
      <alignment vertical="center"/>
    </xf>
    <xf numFmtId="1" fontId="41" fillId="21" borderId="20" xfId="0" applyNumberFormat="1" applyFont="1" applyFill="1" applyBorder="1" applyAlignment="1">
      <alignment vertical="center"/>
    </xf>
    <xf numFmtId="173" fontId="41" fillId="20" borderId="16" xfId="0" applyNumberFormat="1" applyFont="1" applyFill="1" applyBorder="1" applyAlignment="1">
      <alignment vertical="center"/>
    </xf>
    <xf numFmtId="173" fontId="41" fillId="20" borderId="21" xfId="0" applyNumberFormat="1" applyFont="1" applyFill="1" applyBorder="1" applyAlignment="1">
      <alignment vertical="center"/>
    </xf>
    <xf numFmtId="173" fontId="41" fillId="21" borderId="20" xfId="0" applyNumberFormat="1" applyFont="1" applyFill="1" applyBorder="1" applyAlignment="1">
      <alignment vertical="center"/>
    </xf>
    <xf numFmtId="3" fontId="41" fillId="20" borderId="16" xfId="0" applyNumberFormat="1" applyFont="1" applyFill="1" applyBorder="1" applyAlignment="1">
      <alignment vertical="center"/>
    </xf>
    <xf numFmtId="3" fontId="41" fillId="20" borderId="21" xfId="0" applyNumberFormat="1" applyFont="1" applyFill="1" applyBorder="1" applyAlignment="1">
      <alignment vertical="center"/>
    </xf>
    <xf numFmtId="3" fontId="41" fillId="21" borderId="20" xfId="0" applyNumberFormat="1" applyFont="1" applyFill="1" applyBorder="1" applyAlignment="1">
      <alignment vertical="center"/>
    </xf>
    <xf numFmtId="164" fontId="41" fillId="20" borderId="16" xfId="0" applyNumberFormat="1" applyFont="1" applyFill="1" applyBorder="1" applyAlignment="1">
      <alignment vertical="center"/>
    </xf>
    <xf numFmtId="164" fontId="41" fillId="20" borderId="21" xfId="0" applyNumberFormat="1" applyFont="1" applyFill="1" applyBorder="1" applyAlignment="1">
      <alignment vertical="center"/>
    </xf>
    <xf numFmtId="164" fontId="41" fillId="21" borderId="20" xfId="0" applyNumberFormat="1" applyFont="1" applyFill="1" applyBorder="1" applyAlignment="1">
      <alignment vertical="center"/>
    </xf>
    <xf numFmtId="0" fontId="41" fillId="20" borderId="16" xfId="0" applyNumberFormat="1" applyFont="1" applyFill="1" applyBorder="1" applyAlignment="1">
      <alignment horizontal="center" vertical="center"/>
    </xf>
    <xf numFmtId="0" fontId="41" fillId="20" borderId="21" xfId="0" applyNumberFormat="1" applyFont="1" applyFill="1" applyBorder="1" applyAlignment="1">
      <alignment horizontal="center" vertical="center"/>
    </xf>
    <xf numFmtId="0" fontId="41" fillId="21" borderId="20" xfId="0" applyNumberFormat="1" applyFont="1" applyFill="1" applyBorder="1" applyAlignment="1">
      <alignment horizontal="center" vertical="center"/>
    </xf>
    <xf numFmtId="1" fontId="4" fillId="0" borderId="22" xfId="0" applyNumberFormat="1" applyFon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left" vertical="center"/>
    </xf>
    <xf numFmtId="165" fontId="4" fillId="0" borderId="22" xfId="0" applyNumberFormat="1" applyFont="1" applyFill="1" applyBorder="1" applyAlignment="1">
      <alignment vertical="center"/>
    </xf>
    <xf numFmtId="164" fontId="4" fillId="0" borderId="22" xfId="0" applyNumberFormat="1" applyFont="1" applyFill="1" applyBorder="1" applyAlignment="1">
      <alignment vertical="center"/>
    </xf>
    <xf numFmtId="166" fontId="4" fillId="0" borderId="22" xfId="0" applyNumberFormat="1" applyFont="1" applyFill="1" applyBorder="1" applyAlignment="1">
      <alignment vertical="center"/>
    </xf>
    <xf numFmtId="167" fontId="4" fillId="0" borderId="22" xfId="0" applyNumberFormat="1" applyFont="1" applyFill="1" applyBorder="1" applyAlignment="1">
      <alignment vertical="center"/>
    </xf>
    <xf numFmtId="0" fontId="4" fillId="0" borderId="22" xfId="0" applyNumberFormat="1" applyFont="1" applyFill="1" applyBorder="1" applyAlignment="1">
      <alignment vertical="center"/>
    </xf>
    <xf numFmtId="3" fontId="0" fillId="0" borderId="0" xfId="0" applyNumberFormat="1"/>
    <xf numFmtId="0" fontId="13" fillId="8" borderId="13" xfId="0" applyNumberFormat="1" applyFont="1" applyFill="1" applyBorder="1" applyAlignment="1">
      <alignment vertical="center"/>
    </xf>
    <xf numFmtId="0" fontId="43" fillId="0" borderId="0" xfId="0" applyFont="1"/>
    <xf numFmtId="0" fontId="45" fillId="15" borderId="0" xfId="0" applyNumberFormat="1" applyFont="1" applyFill="1" applyBorder="1"/>
    <xf numFmtId="0" fontId="46" fillId="12" borderId="0" xfId="0" applyNumberFormat="1" applyFont="1" applyFill="1" applyBorder="1" applyAlignment="1">
      <alignment vertical="center"/>
    </xf>
    <xf numFmtId="0" fontId="20" fillId="5" borderId="26" xfId="0" applyNumberFormat="1" applyFont="1" applyFill="1" applyBorder="1" applyAlignment="1">
      <alignment vertical="center"/>
    </xf>
    <xf numFmtId="0" fontId="13" fillId="5" borderId="28" xfId="0" applyNumberFormat="1" applyFont="1" applyFill="1" applyBorder="1" applyAlignment="1">
      <alignment vertical="center"/>
    </xf>
    <xf numFmtId="0" fontId="20" fillId="5" borderId="35" xfId="0" applyNumberFormat="1" applyFont="1" applyFill="1" applyBorder="1" applyAlignment="1">
      <alignment vertical="center"/>
    </xf>
    <xf numFmtId="0" fontId="13" fillId="5" borderId="37" xfId="0" applyNumberFormat="1" applyFont="1" applyFill="1" applyBorder="1" applyAlignment="1">
      <alignment vertical="center"/>
    </xf>
    <xf numFmtId="0" fontId="15" fillId="5" borderId="31" xfId="0" applyNumberFormat="1" applyFont="1" applyFill="1" applyBorder="1" applyAlignment="1">
      <alignment horizontal="center" vertical="center"/>
    </xf>
    <xf numFmtId="0" fontId="15" fillId="5" borderId="31" xfId="0" applyNumberFormat="1" applyFont="1" applyFill="1" applyBorder="1" applyAlignment="1">
      <alignment horizontal="left" vertical="center"/>
    </xf>
    <xf numFmtId="0" fontId="53" fillId="8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horizontal="left" vertical="center"/>
    </xf>
    <xf numFmtId="0" fontId="0" fillId="0" borderId="0" xfId="0"/>
    <xf numFmtId="0" fontId="37" fillId="11" borderId="0" xfId="0" applyNumberFormat="1" applyFont="1" applyFill="1" applyBorder="1"/>
    <xf numFmtId="0" fontId="18" fillId="23" borderId="23" xfId="0" applyNumberFormat="1" applyFont="1" applyFill="1" applyBorder="1" applyAlignment="1">
      <alignment horizontal="left" vertical="center" wrapText="1"/>
    </xf>
    <xf numFmtId="0" fontId="18" fillId="23" borderId="24" xfId="0" applyNumberFormat="1" applyFont="1" applyFill="1" applyBorder="1" applyAlignment="1">
      <alignment horizontal="left" vertical="center" wrapText="1"/>
    </xf>
    <xf numFmtId="0" fontId="18" fillId="23" borderId="25" xfId="0" applyNumberFormat="1" applyFont="1" applyFill="1" applyBorder="1" applyAlignment="1">
      <alignment horizontal="left" vertical="center" wrapText="1"/>
    </xf>
    <xf numFmtId="166" fontId="19" fillId="5" borderId="26" xfId="0" applyNumberFormat="1" applyFont="1" applyFill="1" applyBorder="1" applyAlignment="1">
      <alignment horizontal="right" vertical="center"/>
    </xf>
    <xf numFmtId="166" fontId="19" fillId="5" borderId="0" xfId="0" applyNumberFormat="1" applyFont="1" applyFill="1" applyBorder="1" applyAlignment="1">
      <alignment horizontal="right" vertical="center"/>
    </xf>
    <xf numFmtId="166" fontId="19" fillId="5" borderId="27" xfId="0" applyNumberFormat="1" applyFont="1" applyFill="1" applyBorder="1" applyAlignment="1">
      <alignment horizontal="right" vertical="center"/>
    </xf>
    <xf numFmtId="169" fontId="18" fillId="5" borderId="0" xfId="0" applyNumberFormat="1" applyFont="1" applyFill="1" applyBorder="1" applyAlignment="1">
      <alignment horizontal="right" vertical="center"/>
    </xf>
    <xf numFmtId="169" fontId="18" fillId="5" borderId="27" xfId="0" applyNumberFormat="1" applyFont="1" applyFill="1" applyBorder="1" applyAlignment="1">
      <alignment horizontal="right" vertical="center"/>
    </xf>
    <xf numFmtId="166" fontId="21" fillId="5" borderId="0" xfId="0" applyNumberFormat="1" applyFont="1" applyFill="1" applyBorder="1" applyAlignment="1">
      <alignment horizontal="right" vertical="center"/>
    </xf>
    <xf numFmtId="166" fontId="21" fillId="5" borderId="27" xfId="0" applyNumberFormat="1" applyFont="1" applyFill="1" applyBorder="1" applyAlignment="1">
      <alignment horizontal="right" vertical="center"/>
    </xf>
    <xf numFmtId="166" fontId="21" fillId="5" borderId="29" xfId="0" applyNumberFormat="1" applyFont="1" applyFill="1" applyBorder="1" applyAlignment="1">
      <alignment horizontal="right" vertical="center"/>
    </xf>
    <xf numFmtId="166" fontId="21" fillId="5" borderId="30" xfId="0" applyNumberFormat="1" applyFont="1" applyFill="1" applyBorder="1" applyAlignment="1">
      <alignment horizontal="right" vertical="center"/>
    </xf>
    <xf numFmtId="0" fontId="10" fillId="2" borderId="0" xfId="0" applyNumberFormat="1" applyFont="1" applyFill="1" applyBorder="1" applyAlignment="1">
      <alignment horizontal="left" vertical="center"/>
    </xf>
    <xf numFmtId="0" fontId="12" fillId="9" borderId="0" xfId="0" applyNumberFormat="1" applyFont="1" applyFill="1" applyBorder="1" applyAlignment="1">
      <alignment horizontal="left" vertical="center"/>
    </xf>
    <xf numFmtId="0" fontId="16" fillId="3" borderId="10" xfId="0" applyNumberFormat="1" applyFont="1" applyFill="1" applyBorder="1" applyAlignment="1">
      <alignment horizontal="left" vertical="center"/>
    </xf>
    <xf numFmtId="0" fontId="16" fillId="3" borderId="11" xfId="0" applyNumberFormat="1" applyFont="1" applyFill="1" applyBorder="1" applyAlignment="1">
      <alignment horizontal="left" vertical="center"/>
    </xf>
    <xf numFmtId="0" fontId="18" fillId="27" borderId="32" xfId="0" applyNumberFormat="1" applyFont="1" applyFill="1" applyBorder="1" applyAlignment="1">
      <alignment horizontal="left" vertical="center" wrapText="1"/>
    </xf>
    <xf numFmtId="0" fontId="18" fillId="27" borderId="33" xfId="0" applyNumberFormat="1" applyFont="1" applyFill="1" applyBorder="1" applyAlignment="1">
      <alignment horizontal="left" vertical="center" wrapText="1"/>
    </xf>
    <xf numFmtId="0" fontId="18" fillId="27" borderId="34" xfId="0" applyNumberFormat="1" applyFont="1" applyFill="1" applyBorder="1" applyAlignment="1">
      <alignment horizontal="left" vertical="center" wrapText="1"/>
    </xf>
    <xf numFmtId="167" fontId="19" fillId="5" borderId="26" xfId="0" applyNumberFormat="1" applyFont="1" applyFill="1" applyBorder="1" applyAlignment="1">
      <alignment horizontal="right" vertical="center"/>
    </xf>
    <xf numFmtId="167" fontId="19" fillId="5" borderId="0" xfId="0" applyNumberFormat="1" applyFont="1" applyFill="1" applyBorder="1" applyAlignment="1">
      <alignment horizontal="right" vertical="center"/>
    </xf>
    <xf numFmtId="167" fontId="19" fillId="5" borderId="27" xfId="0" applyNumberFormat="1" applyFont="1" applyFill="1" applyBorder="1" applyAlignment="1">
      <alignment horizontal="right" vertical="center"/>
    </xf>
    <xf numFmtId="165" fontId="19" fillId="5" borderId="26" xfId="0" applyNumberFormat="1" applyFont="1" applyFill="1" applyBorder="1" applyAlignment="1">
      <alignment horizontal="right" vertical="center"/>
    </xf>
    <xf numFmtId="165" fontId="19" fillId="5" borderId="0" xfId="0" applyNumberFormat="1" applyFont="1" applyFill="1" applyBorder="1" applyAlignment="1">
      <alignment horizontal="right" vertical="center"/>
    </xf>
    <xf numFmtId="165" fontId="19" fillId="5" borderId="27" xfId="0" applyNumberFormat="1" applyFont="1" applyFill="1" applyBorder="1" applyAlignment="1">
      <alignment horizontal="right" vertical="center"/>
    </xf>
    <xf numFmtId="0" fontId="53" fillId="8" borderId="35" xfId="0" applyNumberFormat="1" applyFont="1" applyFill="1" applyBorder="1" applyAlignment="1">
      <alignment horizontal="center" vertical="center"/>
    </xf>
    <xf numFmtId="0" fontId="14" fillId="8" borderId="36" xfId="0" applyNumberFormat="1" applyFont="1" applyFill="1" applyBorder="1" applyAlignment="1">
      <alignment horizontal="center" vertical="center"/>
    </xf>
    <xf numFmtId="165" fontId="21" fillId="5" borderId="0" xfId="0" applyNumberFormat="1" applyFont="1" applyFill="1" applyBorder="1" applyAlignment="1">
      <alignment horizontal="right" vertical="center"/>
    </xf>
    <xf numFmtId="165" fontId="21" fillId="5" borderId="27" xfId="0" applyNumberFormat="1" applyFont="1" applyFill="1" applyBorder="1" applyAlignment="1">
      <alignment horizontal="right" vertical="center"/>
    </xf>
    <xf numFmtId="165" fontId="21" fillId="5" borderId="29" xfId="0" applyNumberFormat="1" applyFont="1" applyFill="1" applyBorder="1" applyAlignment="1">
      <alignment horizontal="right" vertical="center"/>
    </xf>
    <xf numFmtId="165" fontId="21" fillId="5" borderId="30" xfId="0" applyNumberFormat="1" applyFont="1" applyFill="1" applyBorder="1" applyAlignment="1">
      <alignment horizontal="right" vertical="center"/>
    </xf>
    <xf numFmtId="0" fontId="22" fillId="4" borderId="0" xfId="0" applyNumberFormat="1" applyFont="1" applyFill="1" applyBorder="1" applyAlignment="1">
      <alignment horizontal="left" vertical="center"/>
    </xf>
    <xf numFmtId="0" fontId="18" fillId="23" borderId="10" xfId="0" applyNumberFormat="1" applyFont="1" applyFill="1" applyBorder="1" applyAlignment="1">
      <alignment horizontal="center" vertical="center"/>
    </xf>
    <xf numFmtId="0" fontId="18" fillId="23" borderId="11" xfId="0" applyNumberFormat="1" applyFont="1" applyFill="1" applyBorder="1" applyAlignment="1">
      <alignment horizontal="center" vertical="center"/>
    </xf>
    <xf numFmtId="0" fontId="18" fillId="23" borderId="8" xfId="0" applyNumberFormat="1" applyFont="1" applyFill="1" applyBorder="1" applyAlignment="1">
      <alignment horizontal="center" vertical="center"/>
    </xf>
    <xf numFmtId="0" fontId="23" fillId="8" borderId="0" xfId="0" applyNumberFormat="1" applyFont="1" applyFill="1" applyBorder="1" applyAlignment="1">
      <alignment horizontal="center" vertical="center"/>
    </xf>
    <xf numFmtId="165" fontId="24" fillId="5" borderId="12" xfId="0" applyNumberFormat="1" applyFont="1" applyFill="1" applyBorder="1" applyAlignment="1">
      <alignment horizontal="center" vertical="center"/>
    </xf>
    <xf numFmtId="165" fontId="24" fillId="5" borderId="0" xfId="0" applyNumberFormat="1" applyFont="1" applyFill="1" applyBorder="1" applyAlignment="1">
      <alignment horizontal="center" vertical="center"/>
    </xf>
    <xf numFmtId="165" fontId="24" fillId="5" borderId="13" xfId="0" applyNumberFormat="1" applyFont="1" applyFill="1" applyBorder="1" applyAlignment="1">
      <alignment horizontal="center" vertical="center"/>
    </xf>
    <xf numFmtId="0" fontId="17" fillId="5" borderId="12" xfId="0" applyNumberFormat="1" applyFont="1" applyFill="1" applyBorder="1" applyAlignment="1">
      <alignment horizontal="center" vertical="center" wrapText="1"/>
    </xf>
    <xf numFmtId="0" fontId="17" fillId="5" borderId="0" xfId="0" applyNumberFormat="1" applyFont="1" applyFill="1" applyBorder="1" applyAlignment="1">
      <alignment horizontal="center" vertical="center" wrapText="1"/>
    </xf>
    <xf numFmtId="0" fontId="17" fillId="5" borderId="13" xfId="0" applyNumberFormat="1" applyFont="1" applyFill="1" applyBorder="1" applyAlignment="1">
      <alignment horizontal="center" vertical="center" wrapText="1"/>
    </xf>
    <xf numFmtId="0" fontId="17" fillId="5" borderId="5" xfId="0" applyNumberFormat="1" applyFont="1" applyFill="1" applyBorder="1" applyAlignment="1">
      <alignment horizontal="center" vertical="center" wrapText="1"/>
    </xf>
    <xf numFmtId="0" fontId="17" fillId="5" borderId="14" xfId="0" applyNumberFormat="1" applyFont="1" applyFill="1" applyBorder="1" applyAlignment="1">
      <alignment horizontal="center" vertical="center" wrapText="1"/>
    </xf>
    <xf numFmtId="0" fontId="17" fillId="5" borderId="3" xfId="0" applyNumberFormat="1" applyFont="1" applyFill="1" applyBorder="1" applyAlignment="1">
      <alignment horizontal="center" vertical="center" wrapText="1"/>
    </xf>
    <xf numFmtId="167" fontId="21" fillId="5" borderId="0" xfId="0" applyNumberFormat="1" applyFont="1" applyFill="1" applyBorder="1" applyAlignment="1">
      <alignment horizontal="right" vertical="center"/>
    </xf>
    <xf numFmtId="167" fontId="21" fillId="5" borderId="27" xfId="0" applyNumberFormat="1" applyFont="1" applyFill="1" applyBorder="1" applyAlignment="1">
      <alignment horizontal="right" vertical="center"/>
    </xf>
    <xf numFmtId="167" fontId="21" fillId="5" borderId="29" xfId="0" applyNumberFormat="1" applyFont="1" applyFill="1" applyBorder="1" applyAlignment="1">
      <alignment horizontal="right" vertical="center"/>
    </xf>
    <xf numFmtId="167" fontId="21" fillId="5" borderId="30" xfId="0" applyNumberFormat="1" applyFont="1" applyFill="1" applyBorder="1" applyAlignment="1">
      <alignment horizontal="right" vertical="center"/>
    </xf>
    <xf numFmtId="171" fontId="18" fillId="5" borderId="0" xfId="0" applyNumberFormat="1" applyFont="1" applyFill="1" applyBorder="1" applyAlignment="1">
      <alignment horizontal="right" vertical="center"/>
    </xf>
    <xf numFmtId="171" fontId="18" fillId="5" borderId="27" xfId="0" applyNumberFormat="1" applyFont="1" applyFill="1" applyBorder="1" applyAlignment="1">
      <alignment horizontal="right" vertical="center"/>
    </xf>
    <xf numFmtId="165" fontId="19" fillId="0" borderId="35" xfId="0" applyNumberFormat="1" applyFont="1" applyFill="1" applyBorder="1" applyAlignment="1">
      <alignment horizontal="right" vertical="center"/>
    </xf>
    <xf numFmtId="165" fontId="19" fillId="0" borderId="0" xfId="0" applyNumberFormat="1" applyFont="1" applyFill="1" applyBorder="1" applyAlignment="1">
      <alignment horizontal="right" vertical="center"/>
    </xf>
    <xf numFmtId="165" fontId="19" fillId="0" borderId="36" xfId="0" applyNumberFormat="1" applyFont="1" applyFill="1" applyBorder="1" applyAlignment="1">
      <alignment horizontal="right" vertical="center"/>
    </xf>
    <xf numFmtId="170" fontId="18" fillId="5" borderId="0" xfId="0" applyNumberFormat="1" applyFont="1" applyFill="1" applyBorder="1" applyAlignment="1">
      <alignment horizontal="right" vertical="center"/>
    </xf>
    <xf numFmtId="170" fontId="18" fillId="5" borderId="36" xfId="0" applyNumberFormat="1" applyFont="1" applyFill="1" applyBorder="1" applyAlignment="1">
      <alignment horizontal="right" vertical="center"/>
    </xf>
    <xf numFmtId="165" fontId="21" fillId="5" borderId="36" xfId="0" applyNumberFormat="1" applyFont="1" applyFill="1" applyBorder="1" applyAlignment="1">
      <alignment horizontal="right" vertical="center"/>
    </xf>
    <xf numFmtId="165" fontId="21" fillId="5" borderId="38" xfId="0" applyNumberFormat="1" applyFont="1" applyFill="1" applyBorder="1" applyAlignment="1">
      <alignment horizontal="right" vertical="center"/>
    </xf>
    <xf numFmtId="165" fontId="21" fillId="5" borderId="39" xfId="0" applyNumberFormat="1" applyFont="1" applyFill="1" applyBorder="1" applyAlignment="1">
      <alignment horizontal="right" vertical="center"/>
    </xf>
    <xf numFmtId="0" fontId="18" fillId="10" borderId="10" xfId="0" applyNumberFormat="1" applyFont="1" applyFill="1" applyBorder="1" applyAlignment="1">
      <alignment horizontal="left" vertical="center"/>
    </xf>
    <xf numFmtId="0" fontId="18" fillId="10" borderId="11" xfId="0" applyNumberFormat="1" applyFont="1" applyFill="1" applyBorder="1" applyAlignment="1">
      <alignment horizontal="left" vertical="center"/>
    </xf>
    <xf numFmtId="0" fontId="18" fillId="10" borderId="8" xfId="0" applyNumberFormat="1" applyFont="1" applyFill="1" applyBorder="1" applyAlignment="1">
      <alignment horizontal="left" vertical="center"/>
    </xf>
    <xf numFmtId="0" fontId="25" fillId="5" borderId="12" xfId="0" applyNumberFormat="1" applyFont="1" applyFill="1" applyBorder="1" applyAlignment="1">
      <alignment horizontal="center" vertical="center" wrapText="1"/>
    </xf>
    <xf numFmtId="0" fontId="25" fillId="5" borderId="0" xfId="0" applyNumberFormat="1" applyFont="1" applyFill="1" applyBorder="1" applyAlignment="1">
      <alignment horizontal="center" vertical="center" wrapText="1"/>
    </xf>
    <xf numFmtId="0" fontId="25" fillId="5" borderId="13" xfId="0" applyNumberFormat="1" applyFont="1" applyFill="1" applyBorder="1" applyAlignment="1">
      <alignment horizontal="center" vertical="center" wrapText="1"/>
    </xf>
    <xf numFmtId="170" fontId="26" fillId="5" borderId="12" xfId="0" applyNumberFormat="1" applyFont="1" applyFill="1" applyBorder="1" applyAlignment="1">
      <alignment horizontal="center" vertical="center"/>
    </xf>
    <xf numFmtId="170" fontId="26" fillId="5" borderId="0" xfId="0" applyNumberFormat="1" applyFont="1" applyFill="1" applyBorder="1" applyAlignment="1">
      <alignment horizontal="center" vertical="center"/>
    </xf>
    <xf numFmtId="170" fontId="26" fillId="5" borderId="13" xfId="0" applyNumberFormat="1" applyFont="1" applyFill="1" applyBorder="1" applyAlignment="1">
      <alignment horizontal="center" vertical="center"/>
    </xf>
    <xf numFmtId="0" fontId="20" fillId="5" borderId="12" xfId="0" applyNumberFormat="1" applyFont="1" applyFill="1" applyBorder="1" applyAlignment="1">
      <alignment horizontal="center" vertical="center"/>
    </xf>
    <xf numFmtId="0" fontId="20" fillId="5" borderId="0" xfId="0" applyNumberFormat="1" applyFont="1" applyFill="1" applyBorder="1" applyAlignment="1">
      <alignment horizontal="center" vertical="center"/>
    </xf>
    <xf numFmtId="0" fontId="20" fillId="5" borderId="13" xfId="0" applyNumberFormat="1" applyFont="1" applyFill="1" applyBorder="1" applyAlignment="1">
      <alignment horizontal="center" vertical="center"/>
    </xf>
    <xf numFmtId="0" fontId="27" fillId="3" borderId="12" xfId="0" applyNumberFormat="1" applyFont="1" applyFill="1" applyBorder="1" applyAlignment="1">
      <alignment horizontal="center" vertical="center"/>
    </xf>
    <xf numFmtId="0" fontId="27" fillId="3" borderId="0" xfId="0" applyNumberFormat="1" applyFont="1" applyFill="1" applyBorder="1" applyAlignment="1">
      <alignment horizontal="center" vertical="center"/>
    </xf>
    <xf numFmtId="0" fontId="27" fillId="3" borderId="13" xfId="0" applyNumberFormat="1" applyFont="1" applyFill="1" applyBorder="1" applyAlignment="1">
      <alignment horizontal="center" vertical="center"/>
    </xf>
    <xf numFmtId="167" fontId="25" fillId="5" borderId="12" xfId="0" applyNumberFormat="1" applyFont="1" applyFill="1" applyBorder="1" applyAlignment="1">
      <alignment horizontal="center" vertical="center"/>
    </xf>
    <xf numFmtId="167" fontId="25" fillId="5" borderId="0" xfId="0" applyNumberFormat="1" applyFont="1" applyFill="1" applyBorder="1" applyAlignment="1">
      <alignment horizontal="center" vertical="center"/>
    </xf>
    <xf numFmtId="167" fontId="25" fillId="5" borderId="13" xfId="0" applyNumberFormat="1" applyFont="1" applyFill="1" applyBorder="1" applyAlignment="1">
      <alignment horizontal="center" vertical="center"/>
    </xf>
    <xf numFmtId="167" fontId="25" fillId="5" borderId="5" xfId="0" applyNumberFormat="1" applyFont="1" applyFill="1" applyBorder="1" applyAlignment="1">
      <alignment horizontal="center" vertical="center"/>
    </xf>
    <xf numFmtId="167" fontId="25" fillId="5" borderId="14" xfId="0" applyNumberFormat="1" applyFont="1" applyFill="1" applyBorder="1" applyAlignment="1">
      <alignment horizontal="center" vertical="center"/>
    </xf>
    <xf numFmtId="167" fontId="25" fillId="5" borderId="3" xfId="0" applyNumberFormat="1" applyFont="1" applyFill="1" applyBorder="1" applyAlignment="1">
      <alignment horizontal="center" vertical="center"/>
    </xf>
    <xf numFmtId="0" fontId="51" fillId="24" borderId="10" xfId="0" applyNumberFormat="1" applyFont="1" applyFill="1" applyBorder="1" applyAlignment="1">
      <alignment horizontal="center" vertical="center" wrapText="1"/>
    </xf>
    <xf numFmtId="0" fontId="51" fillId="24" borderId="11" xfId="0" applyNumberFormat="1" applyFont="1" applyFill="1" applyBorder="1" applyAlignment="1">
      <alignment horizontal="center" vertical="center" wrapText="1"/>
    </xf>
    <xf numFmtId="0" fontId="51" fillId="24" borderId="8" xfId="0" applyNumberFormat="1" applyFont="1" applyFill="1" applyBorder="1" applyAlignment="1">
      <alignment horizontal="center" vertical="center" wrapText="1"/>
    </xf>
    <xf numFmtId="0" fontId="29" fillId="8" borderId="0" xfId="0" applyNumberFormat="1" applyFont="1" applyFill="1" applyBorder="1" applyAlignment="1">
      <alignment horizontal="center" vertical="center"/>
    </xf>
    <xf numFmtId="166" fontId="24" fillId="5" borderId="12" xfId="0" applyNumberFormat="1" applyFont="1" applyFill="1" applyBorder="1" applyAlignment="1">
      <alignment horizontal="center" vertical="center"/>
    </xf>
    <xf numFmtId="166" fontId="24" fillId="5" borderId="0" xfId="0" applyNumberFormat="1" applyFont="1" applyFill="1" applyBorder="1" applyAlignment="1">
      <alignment horizontal="center" vertical="center"/>
    </xf>
    <xf numFmtId="166" fontId="24" fillId="5" borderId="13" xfId="0" applyNumberFormat="1" applyFont="1" applyFill="1" applyBorder="1" applyAlignment="1">
      <alignment horizontal="center" vertical="center"/>
    </xf>
    <xf numFmtId="166" fontId="21" fillId="5" borderId="13" xfId="0" applyNumberFormat="1" applyFont="1" applyFill="1" applyBorder="1" applyAlignment="1">
      <alignment horizontal="right" vertical="center"/>
    </xf>
    <xf numFmtId="169" fontId="18" fillId="5" borderId="13" xfId="0" applyNumberFormat="1" applyFont="1" applyFill="1" applyBorder="1" applyAlignment="1">
      <alignment horizontal="right" vertical="center"/>
    </xf>
    <xf numFmtId="169" fontId="18" fillId="5" borderId="14" xfId="0" applyNumberFormat="1" applyFont="1" applyFill="1" applyBorder="1" applyAlignment="1">
      <alignment horizontal="right" vertical="center"/>
    </xf>
    <xf numFmtId="169" fontId="18" fillId="5" borderId="3" xfId="0" applyNumberFormat="1" applyFont="1" applyFill="1" applyBorder="1" applyAlignment="1">
      <alignment horizontal="right" vertical="center"/>
    </xf>
    <xf numFmtId="164" fontId="24" fillId="5" borderId="12" xfId="0" applyNumberFormat="1" applyFont="1" applyFill="1" applyBorder="1" applyAlignment="1">
      <alignment horizontal="center" vertical="center"/>
    </xf>
    <xf numFmtId="164" fontId="24" fillId="5" borderId="0" xfId="0" applyNumberFormat="1" applyFont="1" applyFill="1" applyBorder="1" applyAlignment="1">
      <alignment horizontal="center" vertical="center"/>
    </xf>
    <xf numFmtId="164" fontId="24" fillId="5" borderId="13" xfId="0" applyNumberFormat="1" applyFont="1" applyFill="1" applyBorder="1" applyAlignment="1">
      <alignment horizontal="center" vertical="center"/>
    </xf>
    <xf numFmtId="164" fontId="21" fillId="5" borderId="0" xfId="0" applyNumberFormat="1" applyFont="1" applyFill="1" applyBorder="1" applyAlignment="1">
      <alignment horizontal="right" vertical="center"/>
    </xf>
    <xf numFmtId="164" fontId="21" fillId="5" borderId="13" xfId="0" applyNumberFormat="1" applyFont="1" applyFill="1" applyBorder="1" applyAlignment="1">
      <alignment horizontal="right" vertical="center"/>
    </xf>
    <xf numFmtId="172" fontId="18" fillId="5" borderId="0" xfId="0" applyNumberFormat="1" applyFont="1" applyFill="1" applyBorder="1" applyAlignment="1">
      <alignment horizontal="right" vertical="center"/>
    </xf>
    <xf numFmtId="172" fontId="18" fillId="5" borderId="13" xfId="0" applyNumberFormat="1" applyFont="1" applyFill="1" applyBorder="1" applyAlignment="1">
      <alignment horizontal="right" vertical="center"/>
    </xf>
    <xf numFmtId="172" fontId="18" fillId="5" borderId="14" xfId="0" applyNumberFormat="1" applyFont="1" applyFill="1" applyBorder="1" applyAlignment="1">
      <alignment horizontal="right" vertical="center"/>
    </xf>
    <xf numFmtId="172" fontId="18" fillId="5" borderId="3" xfId="0" applyNumberFormat="1" applyFont="1" applyFill="1" applyBorder="1" applyAlignment="1">
      <alignment horizontal="right" vertical="center"/>
    </xf>
    <xf numFmtId="0" fontId="28" fillId="3" borderId="0" xfId="0" applyNumberFormat="1" applyFont="1" applyFill="1" applyBorder="1" applyAlignment="1">
      <alignment horizontal="left" vertical="center" wrapText="1"/>
    </xf>
    <xf numFmtId="0" fontId="51" fillId="25" borderId="10" xfId="0" applyNumberFormat="1" applyFont="1" applyFill="1" applyBorder="1" applyAlignment="1">
      <alignment horizontal="center" vertical="center"/>
    </xf>
    <xf numFmtId="0" fontId="51" fillId="25" borderId="11" xfId="0" applyNumberFormat="1" applyFont="1" applyFill="1" applyBorder="1" applyAlignment="1">
      <alignment horizontal="center" vertical="center"/>
    </xf>
    <xf numFmtId="0" fontId="51" fillId="25" borderId="8" xfId="0" applyNumberFormat="1" applyFont="1" applyFill="1" applyBorder="1" applyAlignment="1">
      <alignment horizontal="center" vertical="center"/>
    </xf>
    <xf numFmtId="165" fontId="31" fillId="5" borderId="12" xfId="0" applyNumberFormat="1" applyFont="1" applyFill="1" applyBorder="1" applyAlignment="1">
      <alignment horizontal="center" vertical="center"/>
    </xf>
    <xf numFmtId="165" fontId="31" fillId="5" borderId="0" xfId="0" applyNumberFormat="1" applyFont="1" applyFill="1" applyBorder="1" applyAlignment="1">
      <alignment horizontal="center" vertical="center"/>
    </xf>
    <xf numFmtId="165" fontId="31" fillId="5" borderId="13" xfId="0" applyNumberFormat="1" applyFont="1" applyFill="1" applyBorder="1" applyAlignment="1">
      <alignment horizontal="center" vertical="center"/>
    </xf>
    <xf numFmtId="165" fontId="17" fillId="5" borderId="0" xfId="0" applyNumberFormat="1" applyFont="1" applyFill="1" applyBorder="1" applyAlignment="1">
      <alignment horizontal="right" vertical="center"/>
    </xf>
    <xf numFmtId="165" fontId="17" fillId="5" borderId="13" xfId="0" applyNumberFormat="1" applyFont="1" applyFill="1" applyBorder="1" applyAlignment="1">
      <alignment horizontal="right" vertical="center"/>
    </xf>
    <xf numFmtId="0" fontId="30" fillId="8" borderId="0" xfId="0" applyNumberFormat="1" applyFont="1" applyFill="1" applyBorder="1" applyAlignment="1">
      <alignment horizontal="center" vertical="center"/>
    </xf>
    <xf numFmtId="0" fontId="52" fillId="26" borderId="10" xfId="0" applyNumberFormat="1" applyFont="1" applyFill="1" applyBorder="1" applyAlignment="1">
      <alignment horizontal="center" vertical="center" wrapText="1"/>
    </xf>
    <xf numFmtId="0" fontId="52" fillId="26" borderId="11" xfId="0" applyNumberFormat="1" applyFont="1" applyFill="1" applyBorder="1" applyAlignment="1">
      <alignment horizontal="center" vertical="center" wrapText="1"/>
    </xf>
    <xf numFmtId="0" fontId="52" fillId="26" borderId="8" xfId="0" applyNumberFormat="1" applyFont="1" applyFill="1" applyBorder="1" applyAlignment="1">
      <alignment horizontal="center" vertical="center" wrapText="1"/>
    </xf>
    <xf numFmtId="165" fontId="32" fillId="5" borderId="12" xfId="0" applyNumberFormat="1" applyFont="1" applyFill="1" applyBorder="1" applyAlignment="1">
      <alignment horizontal="center" vertical="center"/>
    </xf>
    <xf numFmtId="165" fontId="32" fillId="5" borderId="0" xfId="0" applyNumberFormat="1" applyFont="1" applyFill="1" applyBorder="1" applyAlignment="1">
      <alignment horizontal="center" vertical="center"/>
    </xf>
    <xf numFmtId="165" fontId="32" fillId="5" borderId="13" xfId="0" applyNumberFormat="1" applyFont="1" applyFill="1" applyBorder="1" applyAlignment="1">
      <alignment horizontal="center" vertical="center"/>
    </xf>
    <xf numFmtId="165" fontId="32" fillId="5" borderId="5" xfId="0" applyNumberFormat="1" applyFont="1" applyFill="1" applyBorder="1" applyAlignment="1">
      <alignment horizontal="center" vertical="center"/>
    </xf>
    <xf numFmtId="165" fontId="32" fillId="5" borderId="14" xfId="0" applyNumberFormat="1" applyFont="1" applyFill="1" applyBorder="1" applyAlignment="1">
      <alignment horizontal="center" vertical="center"/>
    </xf>
    <xf numFmtId="165" fontId="32" fillId="5" borderId="3" xfId="0" applyNumberFormat="1" applyFont="1" applyFill="1" applyBorder="1" applyAlignment="1">
      <alignment horizontal="center" vertical="center"/>
    </xf>
    <xf numFmtId="1" fontId="32" fillId="5" borderId="12" xfId="0" applyNumberFormat="1" applyFont="1" applyFill="1" applyBorder="1" applyAlignment="1">
      <alignment horizontal="center" vertical="center"/>
    </xf>
    <xf numFmtId="1" fontId="32" fillId="5" borderId="0" xfId="0" applyNumberFormat="1" applyFont="1" applyFill="1" applyBorder="1" applyAlignment="1">
      <alignment horizontal="center" vertical="center"/>
    </xf>
    <xf numFmtId="1" fontId="32" fillId="5" borderId="13" xfId="0" applyNumberFormat="1" applyFont="1" applyFill="1" applyBorder="1" applyAlignment="1">
      <alignment horizontal="center" vertical="center"/>
    </xf>
    <xf numFmtId="1" fontId="32" fillId="5" borderId="5" xfId="0" applyNumberFormat="1" applyFont="1" applyFill="1" applyBorder="1" applyAlignment="1">
      <alignment horizontal="center" vertical="center"/>
    </xf>
    <xf numFmtId="1" fontId="32" fillId="5" borderId="14" xfId="0" applyNumberFormat="1" applyFont="1" applyFill="1" applyBorder="1" applyAlignment="1">
      <alignment horizontal="center" vertical="center"/>
    </xf>
    <xf numFmtId="1" fontId="32" fillId="5" borderId="3" xfId="0" applyNumberFormat="1" applyFont="1" applyFill="1" applyBorder="1" applyAlignment="1">
      <alignment horizontal="center" vertical="center"/>
    </xf>
    <xf numFmtId="0" fontId="36" fillId="4" borderId="0" xfId="0" applyNumberFormat="1" applyFont="1" applyFill="1" applyBorder="1" applyAlignment="1">
      <alignment horizontal="left" vertical="center" wrapText="1"/>
    </xf>
    <xf numFmtId="0" fontId="34" fillId="5" borderId="13" xfId="0" applyNumberFormat="1" applyFont="1" applyFill="1" applyBorder="1" applyAlignment="1">
      <alignment horizontal="left" vertical="center"/>
    </xf>
    <xf numFmtId="0" fontId="34" fillId="5" borderId="15" xfId="0" applyNumberFormat="1" applyFont="1" applyFill="1" applyBorder="1" applyAlignment="1">
      <alignment horizontal="left" vertical="center"/>
    </xf>
    <xf numFmtId="0" fontId="34" fillId="5" borderId="12" xfId="0" applyNumberFormat="1" applyFont="1" applyFill="1" applyBorder="1" applyAlignment="1">
      <alignment horizontal="left" vertical="center"/>
    </xf>
    <xf numFmtId="165" fontId="34" fillId="5" borderId="13" xfId="0" applyNumberFormat="1" applyFont="1" applyFill="1" applyBorder="1" applyAlignment="1">
      <alignment horizontal="right" vertical="center"/>
    </xf>
    <xf numFmtId="165" fontId="34" fillId="5" borderId="12" xfId="0" applyNumberFormat="1" applyFont="1" applyFill="1" applyBorder="1" applyAlignment="1">
      <alignment horizontal="right" vertical="center"/>
    </xf>
    <xf numFmtId="0" fontId="33" fillId="7" borderId="0" xfId="0" applyNumberFormat="1" applyFont="1" applyFill="1" applyBorder="1" applyAlignment="1">
      <alignment horizontal="left" vertical="center"/>
    </xf>
    <xf numFmtId="0" fontId="33" fillId="7" borderId="0" xfId="0" applyNumberFormat="1" applyFont="1" applyFill="1" applyBorder="1" applyAlignment="1">
      <alignment horizontal="right" vertical="center"/>
    </xf>
    <xf numFmtId="0" fontId="35" fillId="3" borderId="10" xfId="0" applyNumberFormat="1" applyFont="1" applyFill="1" applyBorder="1" applyAlignment="1">
      <alignment horizontal="left" vertical="center" wrapText="1"/>
    </xf>
    <xf numFmtId="0" fontId="35" fillId="3" borderId="11" xfId="0" applyNumberFormat="1" applyFont="1" applyFill="1" applyBorder="1" applyAlignment="1">
      <alignment horizontal="left" vertical="center" wrapText="1"/>
    </xf>
    <xf numFmtId="0" fontId="35" fillId="3" borderId="8" xfId="0" applyNumberFormat="1" applyFont="1" applyFill="1" applyBorder="1" applyAlignment="1">
      <alignment horizontal="left" vertical="center" wrapText="1"/>
    </xf>
    <xf numFmtId="0" fontId="35" fillId="3" borderId="12" xfId="0" applyNumberFormat="1" applyFont="1" applyFill="1" applyBorder="1" applyAlignment="1">
      <alignment horizontal="left" vertical="center" wrapText="1"/>
    </xf>
    <xf numFmtId="0" fontId="35" fillId="3" borderId="0" xfId="0" applyNumberFormat="1" applyFont="1" applyFill="1" applyBorder="1" applyAlignment="1">
      <alignment horizontal="left" vertical="center" wrapText="1"/>
    </xf>
    <xf numFmtId="0" fontId="35" fillId="3" borderId="13" xfId="0" applyNumberFormat="1" applyFont="1" applyFill="1" applyBorder="1" applyAlignment="1">
      <alignment horizontal="left" vertical="center" wrapText="1"/>
    </xf>
    <xf numFmtId="0" fontId="35" fillId="3" borderId="5" xfId="0" applyNumberFormat="1" applyFont="1" applyFill="1" applyBorder="1" applyAlignment="1">
      <alignment horizontal="left" vertical="center" wrapText="1"/>
    </xf>
    <xf numFmtId="0" fontId="35" fillId="3" borderId="14" xfId="0" applyNumberFormat="1" applyFont="1" applyFill="1" applyBorder="1" applyAlignment="1">
      <alignment horizontal="left" vertical="center" wrapText="1"/>
    </xf>
    <xf numFmtId="0" fontId="35" fillId="3" borderId="3" xfId="0" applyNumberFormat="1" applyFont="1" applyFill="1" applyBorder="1" applyAlignment="1">
      <alignment horizontal="left" vertical="center" wrapText="1"/>
    </xf>
    <xf numFmtId="0" fontId="49" fillId="24" borderId="0" xfId="0" applyNumberFormat="1" applyFont="1" applyFill="1" applyBorder="1" applyAlignment="1">
      <alignment vertical="center"/>
    </xf>
    <xf numFmtId="0" fontId="49" fillId="25" borderId="0" xfId="0" applyNumberFormat="1" applyFont="1" applyFill="1" applyBorder="1" applyAlignment="1">
      <alignment vertical="center"/>
    </xf>
    <xf numFmtId="0" fontId="49" fillId="26" borderId="0" xfId="0" applyNumberFormat="1" applyFont="1" applyFill="1" applyBorder="1" applyAlignment="1">
      <alignment vertical="center"/>
    </xf>
    <xf numFmtId="0" fontId="50" fillId="14" borderId="20" xfId="0" applyNumberFormat="1" applyFont="1" applyFill="1" applyBorder="1" applyAlignment="1">
      <alignment vertical="center" wrapText="1"/>
    </xf>
    <xf numFmtId="0" fontId="50" fillId="14" borderId="0" xfId="0" applyNumberFormat="1" applyFont="1" applyFill="1" applyAlignment="1">
      <alignment vertical="center" wrapText="1"/>
    </xf>
    <xf numFmtId="0" fontId="42" fillId="16" borderId="0" xfId="0" applyNumberFormat="1" applyFont="1" applyFill="1" applyBorder="1" applyAlignment="1">
      <alignment horizontal="left" vertical="center"/>
    </xf>
    <xf numFmtId="0" fontId="44" fillId="12" borderId="0" xfId="0" applyNumberFormat="1" applyFont="1" applyFill="1" applyBorder="1" applyAlignment="1">
      <alignment horizontal="left" vertical="center"/>
    </xf>
    <xf numFmtId="0" fontId="47" fillId="13" borderId="17" xfId="0" applyNumberFormat="1" applyFont="1" applyFill="1" applyBorder="1" applyAlignment="1">
      <alignment vertical="center"/>
    </xf>
    <xf numFmtId="0" fontId="47" fillId="13" borderId="18" xfId="0" applyNumberFormat="1" applyFont="1" applyFill="1" applyBorder="1" applyAlignment="1">
      <alignment vertical="center"/>
    </xf>
    <xf numFmtId="0" fontId="47" fillId="13" borderId="19" xfId="0" applyNumberFormat="1" applyFont="1" applyFill="1" applyBorder="1" applyAlignment="1">
      <alignment vertical="center"/>
    </xf>
    <xf numFmtId="0" fontId="48" fillId="14" borderId="0" xfId="0" applyNumberFormat="1" applyFont="1" applyFill="1" applyBorder="1" applyAlignment="1">
      <alignment vertical="center" wrapText="1"/>
    </xf>
    <xf numFmtId="0" fontId="49" fillId="17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 wrapText="1"/>
    </xf>
    <xf numFmtId="0" fontId="39" fillId="18" borderId="0" xfId="0" applyNumberFormat="1" applyFont="1" applyFill="1" applyBorder="1" applyAlignment="1">
      <alignment vertical="center"/>
    </xf>
    <xf numFmtId="0" fontId="38" fillId="22" borderId="0" xfId="0" applyNumberFormat="1" applyFont="1" applyFill="1" applyBorder="1" applyAlignment="1">
      <alignment vertical="center" wrapText="1"/>
    </xf>
  </cellXfs>
  <cellStyles count="2">
    <cellStyle name="Prozent" xfId="1" xr:uid="{00000000-0005-0000-0000-000000000000}"/>
    <cellStyle name="Standard" xfId="0" builtinId="0"/>
  </cellStyles>
  <dxfs count="2"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rgb="FFF68F7A"/>
        </patternFill>
      </fill>
    </dxf>
  </dxfs>
  <tableStyles count="0" defaultTableStyle="TableStyleMedium2" defaultPivotStyle="PivotStyleLight16"/>
  <colors>
    <mruColors>
      <color rgb="FF7A3E87"/>
      <color rgb="FFC46A32"/>
      <color rgb="FF2D6F8E"/>
      <color rgb="FFF68F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5062942fedcd4deb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DE" sz="1600"/>
              <a:t>Beiträge zur Veränderung des Refinanzierungssaldos (€)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Beitrag</c:v>
          </c:tx>
          <c:spPr>
            <a:solidFill>
              <a:srgbClr val="C59B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KPI!$A$30:$A$35</c:f>
              <c:strCache>
                <c:ptCount val="6"/>
                <c:pt idx="0">
                  <c:v>Gesamtmengenwirkung</c:v>
                </c:pt>
                <c:pt idx="1">
                  <c:v>Wirkung AfS-Anteil</c:v>
                </c:pt>
                <c:pt idx="2">
                  <c:v>Medianwirkung</c:v>
                </c:pt>
                <c:pt idx="3">
                  <c:v>Zuwendungswirkung</c:v>
                </c:pt>
                <c:pt idx="4">
                  <c:v>IKT-Wirkung</c:v>
                </c:pt>
                <c:pt idx="5">
                  <c:v>Transferkostenwirkung</c:v>
                </c:pt>
              </c:strCache>
            </c:strRef>
          </c:cat>
          <c:val>
            <c:numRef>
              <c:f>KPI!$B$30:$B$35</c:f>
              <c:numCache>
                <c:formatCode>#,##0\ "€";\-#,##0\ "€";\-</c:formatCode>
                <c:ptCount val="6"/>
                <c:pt idx="0">
                  <c:v>-45336.601381500019</c:v>
                </c:pt>
                <c:pt idx="1">
                  <c:v>78701.965705825394</c:v>
                </c:pt>
                <c:pt idx="2">
                  <c:v>99469.931836660558</c:v>
                </c:pt>
                <c:pt idx="3">
                  <c:v>-36968.20000000007</c:v>
                </c:pt>
                <c:pt idx="4">
                  <c:v>14040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A67-4A5D-811D-C5B4F1C770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00"/>
            </a:pPr>
            <a:endParaRPr lang="de-DE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€&quot;;\-#,##0\ &quot;€&quot;;\-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de-DE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DE" sz="1600"/>
              <a:t>Größte negative Refinanzierungssalden im ausgewählten Jahr (€)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Refinanzierungssaldo</c:v>
          </c:tx>
          <c:spPr>
            <a:solidFill>
              <a:srgbClr val="C59B00"/>
            </a:solidFill>
          </c:spPr>
          <c:invertIfNegative val="1"/>
          <c:cat>
            <c:strRef>
              <c:f>KPI!$L$45:$L$50</c:f>
              <c:strCache>
                <c:ptCount val="2"/>
                <c:pt idx="0">
                  <c:v>WoTa "Am Wassertor</c:v>
                </c:pt>
                <c:pt idx="1">
                  <c:v>Medizinische Betre</c:v>
                </c:pt>
              </c:strCache>
            </c:strRef>
          </c:cat>
          <c:val>
            <c:numRef>
              <c:f>KPI!$K$45:$K$50</c:f>
              <c:numCache>
                <c:formatCode>#,##0\ "€";\-#,##0\ "€";\-</c:formatCode>
                <c:ptCount val="6"/>
                <c:pt idx="0">
                  <c:v>-10179.630000000005</c:v>
                </c:pt>
                <c:pt idx="1">
                  <c:v>-5569.84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A8AF-4C50-81B1-02669D15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00"/>
            </a:pPr>
            <a:endParaRPr lang="de-DE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€&quot;;\-#,##0\ &quot;€&quot;;\-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de-DE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Refinanzierungsertrag und erweiterte Teilkosten (€)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Refinanzierungsertrag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Dashboard_Daten!$C$77:$C$82</c:f>
              <c:numCache>
                <c:formatCode>#,##0\ "€";[Red]\-#,##0\ "€";\-</c:formatCode>
                <c:ptCount val="6"/>
                <c:pt idx="0">
                  <c:v>674881.80195492832</c:v>
                </c:pt>
                <c:pt idx="1">
                  <c:v>693365.68159974529</c:v>
                </c:pt>
                <c:pt idx="2">
                  <c:v>684312.66188177839</c:v>
                </c:pt>
                <c:pt idx="3">
                  <c:v>968861.52</c:v>
                </c:pt>
                <c:pt idx="4">
                  <c:v>1033260.1705056807</c:v>
                </c:pt>
                <c:pt idx="5">
                  <c:v>1166095.4666666666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D-43F0-9BB8-4272D6F8609A}"/>
            </c:ext>
          </c:extLst>
        </c:ser>
        <c:ser>
          <c:idx val="1"/>
          <c:order val="1"/>
          <c:tx>
            <c:v>erweiterte Teilkosten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Dashboard_Daten!$D$77:$D$82</c:f>
              <c:numCache>
                <c:formatCode>#,##0\ "€";[Red]\-#,##0\ "€";\-</c:formatCode>
                <c:ptCount val="6"/>
                <c:pt idx="0">
                  <c:v>684781.95685781573</c:v>
                </c:pt>
                <c:pt idx="1">
                  <c:v>718350.87995783798</c:v>
                </c:pt>
                <c:pt idx="2">
                  <c:v>799051.04</c:v>
                </c:pt>
                <c:pt idx="3">
                  <c:v>818393</c:v>
                </c:pt>
                <c:pt idx="4">
                  <c:v>860047.35999999987</c:v>
                </c:pt>
                <c:pt idx="5">
                  <c:v>882975.55999999994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6D-43F0-9BB8-4272D6F86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€&quot;;[Red]\-#,##0\ &quot;€&quot;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Berlin Type Office" panose="020B0502020203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Refinanzierungssaldo (€)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Dashboard_Daten!$B$77:$B$82</c:f>
              <c:numCache>
                <c:formatCode>#,##0\ "€";[Red]\-#,##0\ "€";\-</c:formatCode>
                <c:ptCount val="6"/>
                <c:pt idx="0">
                  <c:v>-9900.1549028872905</c:v>
                </c:pt>
                <c:pt idx="1">
                  <c:v>-24985.198358092723</c:v>
                </c:pt>
                <c:pt idx="2">
                  <c:v>-114738.37811822168</c:v>
                </c:pt>
                <c:pt idx="3">
                  <c:v>150468.51999999993</c:v>
                </c:pt>
                <c:pt idx="4">
                  <c:v>173212.81050568077</c:v>
                </c:pt>
                <c:pt idx="5">
                  <c:v>283119.90666666662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8-4A17-85E4-2310B74B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€&quot;;[Red]\-#,##0\ &quot;€&quot;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Berlin Type Office" panose="020B0502020203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Gesamt- und KLR-Jahresmengen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Gesamt-Jahresmengen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Dashboard_Daten!$E$77:$E$82</c:f>
              <c:numCache>
                <c:formatCode>#,##0</c:formatCode>
                <c:ptCount val="6"/>
                <c:pt idx="0">
                  <c:v>85991.357313812361</c:v>
                </c:pt>
                <c:pt idx="1">
                  <c:v>96580.0572704714</c:v>
                </c:pt>
                <c:pt idx="2">
                  <c:v>110048.58344109228</c:v>
                </c:pt>
                <c:pt idx="3">
                  <c:v>110522.75695805723</c:v>
                </c:pt>
                <c:pt idx="4">
                  <c:v>96401</c:v>
                </c:pt>
                <c:pt idx="5">
                  <c:v>92171.190476190473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B-4E75-8530-5CCF6C131E31}"/>
            </c:ext>
          </c:extLst>
        </c:ser>
        <c:ser>
          <c:idx val="1"/>
          <c:order val="1"/>
          <c:tx>
            <c:v>KLR-Jahresmengen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Dashboard_Daten!$F$77:$F$82</c:f>
              <c:numCache>
                <c:formatCode>#,##0</c:formatCode>
                <c:ptCount val="6"/>
                <c:pt idx="0">
                  <c:v>49518</c:v>
                </c:pt>
                <c:pt idx="1">
                  <c:v>51119</c:v>
                </c:pt>
                <c:pt idx="2">
                  <c:v>54378</c:v>
                </c:pt>
                <c:pt idx="3">
                  <c:v>66726</c:v>
                </c:pt>
                <c:pt idx="4">
                  <c:v>72042</c:v>
                </c:pt>
                <c:pt idx="5">
                  <c:v>74368.333333333328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B-4E75-8530-5CCF6C131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Berlin Type Office" panose="020B0502020203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KLR-relevanter AfS-Anteil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AfS-Anteil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Dashboard_Daten!$G$77:$G$82</c:f>
              <c:numCache>
                <c:formatCode>0.0%</c:formatCode>
                <c:ptCount val="6"/>
                <c:pt idx="0">
                  <c:v>0.57584856835427778</c:v>
                </c:pt>
                <c:pt idx="1">
                  <c:v>0.52929146497440771</c:v>
                </c:pt>
                <c:pt idx="2">
                  <c:v>0.49412721454163838</c:v>
                </c:pt>
                <c:pt idx="3">
                  <c:v>0.60373086807201293</c:v>
                </c:pt>
                <c:pt idx="4">
                  <c:v>0.74731589921266373</c:v>
                </c:pt>
                <c:pt idx="5">
                  <c:v>0.80685009002399777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1-4C46-A505-5A449153D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de-DE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de-DE"/>
          </a:p>
        </c:txPr>
        <c:crossAx val="48650112"/>
        <c:crosses val="autoZero"/>
        <c:crossBetween val="between"/>
        <c:majorUnit val="0.1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Kostenpfad (€)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Zuwendung</c:v>
          </c:tx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Dashboard_Daten!$H$77:$H$82</c:f>
              <c:numCache>
                <c:formatCode>#,##0\ "€";[Red]\-#,##0\ "€";\-</c:formatCode>
                <c:ptCount val="6"/>
                <c:pt idx="0">
                  <c:v>664492.33000000007</c:v>
                </c:pt>
                <c:pt idx="1">
                  <c:v>679873.38</c:v>
                </c:pt>
                <c:pt idx="2">
                  <c:v>779006.04</c:v>
                </c:pt>
                <c:pt idx="3">
                  <c:v>794020</c:v>
                </c:pt>
                <c:pt idx="4">
                  <c:v>810814.35999999987</c:v>
                </c:pt>
                <c:pt idx="5">
                  <c:v>847782.55999999994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0-405E-8C6A-396FC3E9532C}"/>
            </c:ext>
          </c:extLst>
        </c:ser>
        <c:ser>
          <c:idx val="1"/>
          <c:order val="1"/>
          <c:tx>
            <c:v>IKT</c:v>
          </c:tx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Dashboard_Daten!$I$77:$I$82</c:f>
              <c:numCache>
                <c:formatCode>#,##0\ "€";[Red]\-#,##0\ "€";\-</c:formatCode>
                <c:ptCount val="6"/>
                <c:pt idx="0">
                  <c:v>20289.626857815707</c:v>
                </c:pt>
                <c:pt idx="1">
                  <c:v>38477.499957837987</c:v>
                </c:pt>
                <c:pt idx="2">
                  <c:v>20045</c:v>
                </c:pt>
                <c:pt idx="3">
                  <c:v>24373</c:v>
                </c:pt>
                <c:pt idx="4">
                  <c:v>49233</c:v>
                </c:pt>
                <c:pt idx="5">
                  <c:v>35193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0-405E-8C6A-396FC3E9532C}"/>
            </c:ext>
          </c:extLst>
        </c:ser>
        <c:ser>
          <c:idx val="2"/>
          <c:order val="2"/>
          <c:tx>
            <c:v>Transferkosten</c:v>
          </c:tx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Dashboard_Daten!$J$77:$J$82</c:f>
              <c:numCache>
                <c:formatCode>#,##0\ "€";[Red]\-#,##0\ "€";\-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60-405E-8C6A-396FC3E9532C}"/>
            </c:ext>
          </c:extLst>
        </c:ser>
        <c:ser>
          <c:idx val="3"/>
          <c:order val="3"/>
          <c:tx>
            <c:v>erweiterte Teilkosten</c:v>
          </c:tx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Dashboard_Daten!$D$77:$D$82</c:f>
              <c:numCache>
                <c:formatCode>#,##0\ "€";[Red]\-#,##0\ "€";\-</c:formatCode>
                <c:ptCount val="6"/>
                <c:pt idx="0">
                  <c:v>684781.95685781573</c:v>
                </c:pt>
                <c:pt idx="1">
                  <c:v>718350.87995783798</c:v>
                </c:pt>
                <c:pt idx="2">
                  <c:v>799051.04</c:v>
                </c:pt>
                <c:pt idx="3">
                  <c:v>818393</c:v>
                </c:pt>
                <c:pt idx="4">
                  <c:v>860047.35999999987</c:v>
                </c:pt>
                <c:pt idx="5">
                  <c:v>882975.55999999994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60-405E-8C6A-396FC3E9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€&quot;;[Red]\-#,##0\ &quot;€&quot;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Berlin Type Office" panose="020B0502020203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Portfolio-Saldo (€)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Portfolio-Saldo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Dashboard_Daten!$M$77:$M$82</c:f>
              <c:numCache>
                <c:formatCode>#,##0\ "€";[Red]\-#,##0\ "€";\-</c:formatCode>
                <c:ptCount val="6"/>
                <c:pt idx="0">
                  <c:v>-9900.1549028872905</c:v>
                </c:pt>
                <c:pt idx="1">
                  <c:v>-24985.198358092723</c:v>
                </c:pt>
                <c:pt idx="2">
                  <c:v>-114738.37811822168</c:v>
                </c:pt>
                <c:pt idx="3">
                  <c:v>150468.51999999993</c:v>
                </c:pt>
                <c:pt idx="4">
                  <c:v>173212.81050568077</c:v>
                </c:pt>
                <c:pt idx="5">
                  <c:v>283119.90666666662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2-4EC5-B032-D5E3198B1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€&quot;;[Red]\-#,##0\ &quot;€&quot;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Berlin Type Office" panose="020B0502020203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Projektstruktur (Anzahl)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Defizitprojekte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Dashboard_Daten!$N$77:$N$82</c:f>
              <c:numCache>
                <c:formatCode>0</c:formatCode>
                <c:ptCount val="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3B-4F6F-9559-7C3E688FF734}"/>
            </c:ext>
          </c:extLst>
        </c:ser>
        <c:ser>
          <c:idx val="1"/>
          <c:order val="1"/>
          <c:tx>
            <c:v>Überschussprojekte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Dashboard_Daten!$O$77:$O$82</c:f>
              <c:numCache>
                <c:formatCode>0</c:formatCode>
                <c:ptCount val="6"/>
                <c:pt idx="0">
                  <c:v>5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3B-4F6F-9559-7C3E688FF734}"/>
            </c:ext>
          </c:extLst>
        </c:ser>
        <c:ser>
          <c:idx val="2"/>
          <c:order val="2"/>
          <c:tx>
            <c:v>Projekte insgesamt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Dashboard_Daten!$A$77:$A$82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Dashboard_Daten!$P$77:$P$82</c:f>
              <c:numCache>
                <c:formatCode>0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3B-4F6F-9559-7C3E688F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Berlin Type Office" panose="020B0502020203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390525</xdr:colOff>
      <xdr:row>40</xdr:row>
      <xdr:rowOff>200025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BB82F9EE-6765-9A2B-3F8C-92B4B0EF4A2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390525</xdr:colOff>
      <xdr:row>40</xdr:row>
      <xdr:rowOff>200025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70B84A0-7130-A926-637E-56833E702B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390525</xdr:colOff>
      <xdr:row>40</xdr:row>
      <xdr:rowOff>200025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A4841A6-DDAE-D129-5AD7-7AB78B1323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390525</xdr:colOff>
      <xdr:row>40</xdr:row>
      <xdr:rowOff>200025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4F98FF63-9F78-620A-7A2A-08FBB47842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390525</xdr:colOff>
      <xdr:row>40</xdr:row>
      <xdr:rowOff>200025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C416F5F8-D0BD-6A2F-D917-EED033F8E7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390525</xdr:colOff>
      <xdr:row>40</xdr:row>
      <xdr:rowOff>200025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7E0D278-236F-EE90-154E-ED800CD26A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13</xdr:col>
      <xdr:colOff>0</xdr:colOff>
      <xdr:row>75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257175</xdr:colOff>
      <xdr:row>40</xdr:row>
      <xdr:rowOff>76200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CF35C0D6-43D8-DA98-8295-D1EBF72C0F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9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18</xdr:col>
      <xdr:colOff>0</xdr:colOff>
      <xdr:row>61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9</xdr:col>
      <xdr:colOff>0</xdr:colOff>
      <xdr:row>80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63</xdr:row>
      <xdr:rowOff>0</xdr:rowOff>
    </xdr:from>
    <xdr:to>
      <xdr:col>18</xdr:col>
      <xdr:colOff>0</xdr:colOff>
      <xdr:row>80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Zuwendungen\4_Planung%20und%20Soll-Ist-Abgleich\2026\1_bezirkl.%20Zuwendungsplanung_2026%20in%20Vorbereitung_neu.xlsx" TargetMode="External"/><Relationship Id="rId1" Type="http://schemas.openxmlformats.org/officeDocument/2006/relationships/externalLinkPath" Target="/Zuwendungen/4_Planung%20und%20Soll-Ist-Abgleich/2026/1_bezirkl.%20Zuwendungsplanung_2026%20in%20Vorbereitung_ne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el-Planung 2026"/>
      <sheetName val="Summen"/>
      <sheetName val="Zahlungen u. Mengen"/>
      <sheetName val="Zahlungen alt"/>
      <sheetName val="Ist-Soll"/>
    </sheetNames>
    <sheetDataSet>
      <sheetData sheetId="0"/>
      <sheetData sheetId="1"/>
      <sheetData sheetId="2">
        <row r="172">
          <cell r="P172">
            <v>2430</v>
          </cell>
        </row>
        <row r="173">
          <cell r="P173">
            <v>2196</v>
          </cell>
        </row>
        <row r="174">
          <cell r="P174">
            <v>2057</v>
          </cell>
        </row>
        <row r="175">
          <cell r="P175">
            <v>1906</v>
          </cell>
        </row>
        <row r="176">
          <cell r="P176">
            <v>1852</v>
          </cell>
        </row>
        <row r="177">
          <cell r="P177">
            <v>2268</v>
          </cell>
        </row>
        <row r="178">
          <cell r="P178">
            <v>2109</v>
          </cell>
        </row>
        <row r="179">
          <cell r="P179"/>
        </row>
        <row r="180">
          <cell r="P180"/>
        </row>
        <row r="181">
          <cell r="P181"/>
        </row>
        <row r="182">
          <cell r="P182"/>
        </row>
        <row r="183">
          <cell r="P183"/>
        </row>
        <row r="184">
          <cell r="S184">
            <v>17894</v>
          </cell>
          <cell r="W184">
            <v>17852</v>
          </cell>
        </row>
        <row r="185">
          <cell r="P185">
            <v>1246</v>
          </cell>
        </row>
        <row r="186">
          <cell r="P186">
            <v>1342</v>
          </cell>
        </row>
        <row r="187">
          <cell r="P187">
            <v>1587</v>
          </cell>
        </row>
        <row r="188">
          <cell r="P188">
            <v>1442</v>
          </cell>
        </row>
        <row r="189">
          <cell r="P189">
            <v>1220</v>
          </cell>
        </row>
        <row r="190">
          <cell r="P190">
            <v>1549</v>
          </cell>
        </row>
        <row r="191">
          <cell r="P191">
            <v>1724</v>
          </cell>
        </row>
        <row r="192">
          <cell r="P192"/>
        </row>
        <row r="193">
          <cell r="P193"/>
        </row>
        <row r="194">
          <cell r="P194"/>
        </row>
        <row r="195">
          <cell r="P195"/>
        </row>
        <row r="196">
          <cell r="P196"/>
        </row>
        <row r="197">
          <cell r="S197">
            <v>13598</v>
          </cell>
          <cell r="W197">
            <v>12372</v>
          </cell>
        </row>
        <row r="198">
          <cell r="P198">
            <v>1776</v>
          </cell>
        </row>
        <row r="199">
          <cell r="P199">
            <v>1926</v>
          </cell>
        </row>
        <row r="200">
          <cell r="P200">
            <v>463</v>
          </cell>
        </row>
        <row r="201">
          <cell r="P201">
            <v>1197</v>
          </cell>
        </row>
        <row r="202">
          <cell r="P202">
            <v>1123</v>
          </cell>
        </row>
        <row r="203">
          <cell r="P203">
            <v>1493</v>
          </cell>
        </row>
        <row r="204">
          <cell r="P204">
            <v>1354</v>
          </cell>
        </row>
        <row r="205">
          <cell r="P205"/>
        </row>
        <row r="206">
          <cell r="P206"/>
        </row>
        <row r="207">
          <cell r="P207"/>
        </row>
        <row r="208">
          <cell r="P208"/>
        </row>
        <row r="209">
          <cell r="P209"/>
        </row>
        <row r="210">
          <cell r="S210">
            <v>10813</v>
          </cell>
          <cell r="W210">
            <v>10634</v>
          </cell>
        </row>
        <row r="211">
          <cell r="P211">
            <v>1732</v>
          </cell>
        </row>
        <row r="212">
          <cell r="P212">
            <v>1024</v>
          </cell>
        </row>
        <row r="213">
          <cell r="P213">
            <v>1210</v>
          </cell>
        </row>
        <row r="214">
          <cell r="P214">
            <v>1072</v>
          </cell>
        </row>
        <row r="215">
          <cell r="P215">
            <v>902</v>
          </cell>
        </row>
        <row r="216">
          <cell r="P216">
            <v>1258</v>
          </cell>
        </row>
        <row r="217">
          <cell r="P217">
            <v>1062</v>
          </cell>
        </row>
        <row r="218">
          <cell r="P218"/>
        </row>
        <row r="219">
          <cell r="P219"/>
        </row>
        <row r="220">
          <cell r="P220"/>
        </row>
        <row r="221">
          <cell r="P221"/>
        </row>
        <row r="222">
          <cell r="P222"/>
        </row>
        <row r="223">
          <cell r="S223">
            <v>9520</v>
          </cell>
          <cell r="W223">
            <v>582</v>
          </cell>
        </row>
        <row r="224">
          <cell r="P224">
            <v>565</v>
          </cell>
        </row>
        <row r="225">
          <cell r="P225">
            <v>564</v>
          </cell>
        </row>
        <row r="226">
          <cell r="P226">
            <v>680</v>
          </cell>
        </row>
        <row r="227">
          <cell r="P227"/>
        </row>
        <row r="228">
          <cell r="P228"/>
        </row>
        <row r="229">
          <cell r="P229"/>
        </row>
        <row r="230">
          <cell r="P230"/>
        </row>
        <row r="231">
          <cell r="P231"/>
        </row>
        <row r="232">
          <cell r="P232"/>
        </row>
        <row r="233">
          <cell r="P233"/>
        </row>
        <row r="234">
          <cell r="P234"/>
        </row>
        <row r="235">
          <cell r="P235"/>
        </row>
        <row r="236">
          <cell r="S236">
            <v>1997</v>
          </cell>
          <cell r="W236">
            <v>1997</v>
          </cell>
        </row>
      </sheetData>
      <sheetData sheetId="3"/>
      <sheetData sheetId="4"/>
    </sheetDataSet>
  </externalBook>
</externalLink>
</file>

<file path=xl/persons/person.xml><?xml version="1.0" encoding="utf-8"?>
<xltc:personList xmlns:xltc="http://schemas.microsoft.com/office/spreadsheetml/2018/threadedcomments">
  <xltc:person displayName="Marco" id="{FD762C1F-5D64-463E-889B-2DA0547DFED4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Dashboard_Daten" displayName="Tbl_Dashboard_Daten" ref="A1:Y69" totalsRowShown="0">
  <autoFilter ref="A1:Y69" xr:uid="{00000000-0009-0000-0100-000003000000}"/>
  <tableColumns count="25">
    <tableColumn id="1" xr3:uid="{00000000-0010-0000-0000-000001000000}" name="Jahr"/>
    <tableColumn id="2" xr3:uid="{00000000-0010-0000-0000-000002000000}" name="Träger"/>
    <tableColumn id="3" xr3:uid="{00000000-0010-0000-0000-000003000000}" name="Projekt"/>
    <tableColumn id="4" xr3:uid="{00000000-0010-0000-0000-000004000000}" name="Zuwendung"/>
    <tableColumn id="5" xr3:uid="{00000000-0010-0000-0000-000005000000}" name="Drittmittel"/>
    <tableColumn id="6" xr3:uid="{00000000-0010-0000-0000-000006000000}" name="Eigenmittel"/>
    <tableColumn id="7" xr3:uid="{00000000-0010-0000-0000-000007000000}" name="sonstige Einnahmen"/>
    <tableColumn id="8" xr3:uid="{00000000-0010-0000-0000-000008000000}" name="Projektkosten (Quelle)"/>
    <tableColumn id="9" xr3:uid="{00000000-0010-0000-0000-000009000000}" name="Zuwendungsanteil"/>
    <tableColumn id="10" xr3:uid="{00000000-0010-0000-0000-00000A000000}" name="Dritt-/Eigenmittelanteil"/>
    <tableColumn id="11" xr3:uid="{00000000-0010-0000-0000-00000B000000}" name="IKT"/>
    <tableColumn id="12" xr3:uid="{00000000-0010-0000-0000-00000C000000}" name="Transferkosten"/>
    <tableColumn id="13" xr3:uid="{00000000-0010-0000-0000-00000D000000}" name="erweiterte Teilkosten"/>
    <tableColumn id="14" xr3:uid="{00000000-0010-0000-0000-00000E000000}" name="Jahresmengen laufend"/>
    <tableColumn id="15" xr3:uid="{00000000-0010-0000-0000-00000F000000}" name="Gesamt-Jahresmengen"/>
    <tableColumn id="16" xr3:uid="{00000000-0010-0000-0000-000010000000}" name="KLR-Monat"/>
    <tableColumn id="17" xr3:uid="{00000000-0010-0000-0000-000011000000}" name="KLR-Mengen laufend"/>
    <tableColumn id="18" xr3:uid="{00000000-0010-0000-0000-000012000000}" name="KLR-Jahresmengen"/>
    <tableColumn id="19" xr3:uid="{00000000-0010-0000-0000-000013000000}" name="SOLL-Mengen"/>
    <tableColumn id="20" xr3:uid="{00000000-0010-0000-0000-000014000000}" name="Stückkosten"/>
    <tableColumn id="21" xr3:uid="{00000000-0010-0000-0000-000015000000}" name="Median"/>
    <tableColumn id="22" xr3:uid="{00000000-0010-0000-0000-000016000000}" name="Refinanzierungssaldo"/>
    <tableColumn id="23" xr3:uid="{00000000-0010-0000-0000-000017000000}" name="KLR-relevanter AfS-Anteil"/>
    <tableColumn id="24" xr3:uid="{00000000-0010-0000-0000-000018000000}" name="Refinanzierungsertrag"/>
    <tableColumn id="29" xr3:uid="{00000000-0010-0000-0000-00001D000000}" name="Daten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Ganymed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pie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30" dT="2026-08-12T09:07:14.819" personId="{FD762C1F-5D64-463E-889B-2DA0547DFED4}" id="{A6B53103-4CAD-821C-F43B-B60F82989FF8}">
    <xltc:text>Gesamtmengenwirkung = Veränderung der Gesamt-Jahresmengen × AfS-Anteil des Vorjahres × Median des Vorjahres.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4" dT="2026-08-12T09:07:14.819" personId="{FD762C1F-5D64-463E-889B-2DA0547DFED4}" id="{1209F093-908B-93CB-720E-1A9A78F2186D}">
    <xltc:text>Auswahl 2021–2026. Das jüngste Jahr wird als Hochrechnung gekennzeichnet.</xltc:text>
  </xltc:threadedComment>
  <xltc:threadedComment ref="E4" dT="2026-08-12T09:07:14.819" personId="{FD762C1F-5D64-463E-889B-2DA0547DFED4}" id="{25A4BDC3-BB1E-6672-557B-97D23691D0BB}">
    <xltc:text>Gesamtportfolio für die Gesamtsteuerung oder ein Einzelprojekt für die Matroschka-Ursachenanalyse wählen.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c616f085172e43fa" Type="http://schemas.microsoft.com/office/2017/10/relationships/threadedComment" Target="../threadedcomments/threadedcomment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4011fb334ef14265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showGridLines="0" workbookViewId="0">
      <selection activeCell="E15" sqref="E15"/>
    </sheetView>
  </sheetViews>
  <sheetFormatPr baseColWidth="10" defaultColWidth="9.140625" defaultRowHeight="17.25" x14ac:dyDescent="0.35"/>
  <cols>
    <col min="1" max="1" width="31" style="1" customWidth="1"/>
    <col min="2" max="5" width="17" style="1" customWidth="1"/>
    <col min="6" max="9" width="3" style="1" customWidth="1"/>
    <col min="10" max="10" width="26" style="1" customWidth="1"/>
    <col min="11" max="11" width="18" style="1" customWidth="1"/>
    <col min="12" max="12" width="9.140625" style="1"/>
    <col min="13" max="13" width="20" customWidth="1"/>
    <col min="14" max="14" width="48" customWidth="1"/>
    <col min="15" max="16384" width="9.140625" style="1"/>
  </cols>
  <sheetData>
    <row r="1" spans="1:16" ht="30" customHeight="1" x14ac:dyDescent="0.35">
      <c r="A1" s="94" t="s">
        <v>65</v>
      </c>
      <c r="B1" s="94"/>
      <c r="C1" s="94"/>
      <c r="D1" s="94"/>
      <c r="E1" s="94"/>
      <c r="F1" s="95"/>
      <c r="G1" s="95"/>
      <c r="H1" s="95"/>
      <c r="I1" s="95"/>
      <c r="J1" s="95"/>
      <c r="K1" s="95"/>
      <c r="L1" s="95"/>
      <c r="M1" s="96" t="s">
        <v>66</v>
      </c>
      <c r="N1" s="96" t="s">
        <v>67</v>
      </c>
      <c r="O1" s="95"/>
      <c r="P1" s="95"/>
    </row>
    <row r="2" spans="1:16" x14ac:dyDescent="0.35">
      <c r="A2" s="11" t="s">
        <v>0</v>
      </c>
      <c r="B2" s="10">
        <f>Dashboard!$B$4</f>
        <v>2026</v>
      </c>
      <c r="M2">
        <v>2021</v>
      </c>
      <c r="N2" t="s">
        <v>68</v>
      </c>
    </row>
    <row r="3" spans="1:16" x14ac:dyDescent="0.35">
      <c r="A3" s="11" t="s">
        <v>1</v>
      </c>
      <c r="B3" s="10" t="str">
        <f>Dashboard!$E$4</f>
        <v>Gesamtportfolio</v>
      </c>
      <c r="M3">
        <v>2022</v>
      </c>
      <c r="N3" t="s">
        <v>69</v>
      </c>
    </row>
    <row r="4" spans="1:16" x14ac:dyDescent="0.35">
      <c r="A4" s="11" t="s">
        <v>2</v>
      </c>
      <c r="B4" s="10">
        <f>B2-1</f>
        <v>2025</v>
      </c>
      <c r="M4">
        <v>2023</v>
      </c>
      <c r="N4" t="s">
        <v>70</v>
      </c>
    </row>
    <row r="5" spans="1:16" x14ac:dyDescent="0.35">
      <c r="A5" s="11" t="s">
        <v>3</v>
      </c>
      <c r="B5" s="10" t="str">
        <f>IF(B2=MAX(Dashboard_Daten!$A$2:$A$70),"Hochrechnung","Jahresabschluss")</f>
        <v>Hochrechnung</v>
      </c>
      <c r="C5"/>
      <c r="G5"/>
      <c r="M5">
        <v>2024</v>
      </c>
      <c r="N5" t="s">
        <v>71</v>
      </c>
    </row>
    <row r="6" spans="1:16" x14ac:dyDescent="0.35">
      <c r="A6" s="11" t="s">
        <v>4</v>
      </c>
      <c r="B6" s="10">
        <f>IF(B3="Gesamtportfolio",COUNTIF(Dashboard_Daten!$A$2:$A$70,B2),COUNTIFS(Dashboard_Daten!$A$2:$A$70,B2,Dashboard_Daten!$C$2:$C$70,B3))</f>
        <v>5</v>
      </c>
      <c r="C6"/>
      <c r="M6">
        <v>2025</v>
      </c>
      <c r="N6" t="s">
        <v>72</v>
      </c>
    </row>
    <row r="7" spans="1:16" x14ac:dyDescent="0.35">
      <c r="A7" s="11" t="s">
        <v>5</v>
      </c>
      <c r="B7" s="10">
        <f>IF(B3="Gesamtportfolio",COUNTIF(Dashboard_Daten!$A$2:$A$70,B4),COUNTIFS(Dashboard_Daten!$A$2:$A$70,B4,Dashboard_Daten!$C$2:$C$70,B3))</f>
        <v>7</v>
      </c>
      <c r="M7">
        <v>2026</v>
      </c>
      <c r="N7" t="s">
        <v>73</v>
      </c>
    </row>
    <row r="8" spans="1:16" x14ac:dyDescent="0.35">
      <c r="A8"/>
      <c r="C8"/>
      <c r="G8"/>
      <c r="I8"/>
      <c r="N8" t="s">
        <v>74</v>
      </c>
    </row>
    <row r="9" spans="1:16" ht="27.95" customHeight="1" x14ac:dyDescent="0.35">
      <c r="A9" s="18" t="s" cm="1">
        <v>6</v>
      </c>
      <c r="B9" s="19" t="s">
        <v>7</v>
      </c>
      <c r="C9" s="19" t="s" cm="1">
        <v>2</v>
      </c>
      <c r="D9" s="19" t="s">
        <v>8</v>
      </c>
      <c r="E9" s="20" t="s">
        <v>9</v>
      </c>
      <c r="G9"/>
      <c r="I9"/>
      <c r="L9"/>
      <c r="N9" t="s">
        <v>75</v>
      </c>
    </row>
    <row r="10" spans="1:16" x14ac:dyDescent="0.35">
      <c r="A10" s="21" t="s">
        <v>10</v>
      </c>
      <c r="B10" s="23">
        <f>IF($B$6=0,"",IF($B$3="Gesamtportfolio",SUMIFS(Dashboard_Daten!$V$2:$V$70,Dashboard_Daten!$A$2:$A$70,$B$2),SUMIFS(Dashboard_Daten!$V$2:$V$70,Dashboard_Daten!$A$2:$A$70,$B$2,Dashboard_Daten!$C$2:$C$70,$B$3)))</f>
        <v>283119.90666666662</v>
      </c>
      <c r="C10" s="23">
        <f>IF($B$7=0,"",IF($B$3="Gesamtportfolio",SUMIFS(Dashboard_Daten!$V$2:$V$70,Dashboard_Daten!$A$2:$A$70,$B$4),SUMIFS(Dashboard_Daten!$V$2:$V$70,Dashboard_Daten!$A$2:$A$70,$B$4,Dashboard_Daten!$C$2:$C$70,$B$3)))</f>
        <v>173212.81050568077</v>
      </c>
      <c r="D10" s="23">
        <f t="shared" ref="D10:D27" si="0">IF(OR(B10="",C10=""),"",B10-C10)</f>
        <v>109907.09616098585</v>
      </c>
      <c r="E10" s="14"/>
      <c r="N10" t="s">
        <v>76</v>
      </c>
    </row>
    <row r="11" spans="1:16" x14ac:dyDescent="0.35">
      <c r="A11" s="21" t="s">
        <v>11</v>
      </c>
      <c r="B11" s="23">
        <f>IF($B$6=0,"",IF($B$3="Gesamtportfolio",SUMIFS(Dashboard_Daten!$X$2:$X$70,Dashboard_Daten!$A$2:$A$70,$B$2),SUMIFS(Dashboard_Daten!$X$2:$X$70,Dashboard_Daten!$A$2:$A$70,$B$2,Dashboard_Daten!$C$2:$C$70,$B$3)))</f>
        <v>1166095.4666666666</v>
      </c>
      <c r="C11" s="23">
        <f>IF($B$7=0,"",IF($B$3="Gesamtportfolio",SUMIFS(Dashboard_Daten!$X$2:$X$70,Dashboard_Daten!$A$2:$A$70,$B$4),SUMIFS(Dashboard_Daten!$X$2:$X$70,Dashboard_Daten!$A$2:$A$70,$B$4,Dashboard_Daten!$C$2:$C$70,$B$3)))</f>
        <v>1033260.1705056807</v>
      </c>
      <c r="D11" s="23">
        <f t="shared" si="0"/>
        <v>132835.29616098583</v>
      </c>
      <c r="E11" s="14">
        <f>IF(OR(C11="",C11=0),"",D11/ABS(C11))</f>
        <v>0.12855938896393909</v>
      </c>
      <c r="N11" t="s">
        <v>77</v>
      </c>
    </row>
    <row r="12" spans="1:16" x14ac:dyDescent="0.35">
      <c r="A12" s="21" t="s">
        <v>12</v>
      </c>
      <c r="B12" s="23">
        <f>IF($B$6=0,"",IF($B$3="Gesamtportfolio",SUMIFS(Dashboard_Daten!$M$2:$M$70,Dashboard_Daten!$A$2:$A$70,$B$2),SUMIFS(Dashboard_Daten!$M$2:$M$70,Dashboard_Daten!$A$2:$A$70,$B$2,Dashboard_Daten!$C$2:$C$70,$B$3)))</f>
        <v>882975.55999999994</v>
      </c>
      <c r="C12" s="23">
        <f>IF($B$7=0,"",IF($B$3="Gesamtportfolio",SUMIFS(Dashboard_Daten!$M$2:$M$70,Dashboard_Daten!$A$2:$A$70,$B$4),SUMIFS(Dashboard_Daten!$M$2:$M$70,Dashboard_Daten!$A$2:$A$70,$B$4,Dashboard_Daten!$C$2:$C$70,$B$3)))</f>
        <v>860047.35999999987</v>
      </c>
      <c r="D12" s="23">
        <f t="shared" si="0"/>
        <v>22928.20000000007</v>
      </c>
      <c r="E12" s="14">
        <f>IF(OR(C12="",C12=0),"",D12/ABS(C12))</f>
        <v>2.6659229556846815E-2</v>
      </c>
      <c r="G12"/>
      <c r="I12"/>
      <c r="K12"/>
      <c r="N12" t="s">
        <v>78</v>
      </c>
    </row>
    <row r="13" spans="1:16" x14ac:dyDescent="0.35">
      <c r="A13" s="21" t="s" cm="1">
        <v>13</v>
      </c>
      <c r="B13" s="24">
        <f>IF($B$6=0,"",IF($B$3="Gesamtportfolio",SUMIFS(Dashboard_Daten!$R$2:$R$70,Dashboard_Daten!$A$2:$A$70,$B$2),SUMIFS(Dashboard_Daten!$R$2:$R$70,Dashboard_Daten!$A$2:$A$70,$B$2,Dashboard_Daten!$C$2:$C$70,$B$3)))</f>
        <v>74368.333333333328</v>
      </c>
      <c r="C13" s="24" cm="1">
        <f t="array" ref="C13">IF($B$7=0,"",IF($B$3="Gesamtportfolio",SUMIFS(Dashboard_Daten!$R$2:$R$70,Dashboard_Daten!$A$2:$A$70,$B$4),SUMIFS(Dashboard_Daten!$R$2:$R$70,Dashboard_Daten!$A$2:$A$70,$B$4,Dashboard_Daten!$C$2:$C$70,$B$3)))</f>
        <v>72042</v>
      </c>
      <c r="D13" s="24">
        <f t="shared" si="0"/>
        <v>2326.3333333333285</v>
      </c>
      <c r="E13" s="14">
        <f>IF(OR(C13="",C13=0),"",D13/ABS(C13))</f>
        <v>3.2291348565188754E-2</v>
      </c>
      <c r="G13" cm="1"/>
      <c r="I13" cm="1"/>
      <c r="K13" cm="1"/>
      <c r="N13" t="s">
        <v>79</v>
      </c>
    </row>
    <row r="14" spans="1:16" x14ac:dyDescent="0.35">
      <c r="A14" s="21" t="s">
        <v>14</v>
      </c>
      <c r="B14" s="24">
        <f>IF($B$6=0,"",IF($B$3="Gesamtportfolio",SUMIFS(Dashboard_Daten!$O$2:$O$70,Dashboard_Daten!$A$2:$A$70,$B$2),SUMIFS(Dashboard_Daten!$O$2:$O$70,Dashboard_Daten!$A$2:$A$70,$B$2,Dashboard_Daten!$C$2:$C$70,$B$3)))</f>
        <v>92171.190476190473</v>
      </c>
      <c r="C14" s="24">
        <f>IF($B$7=0,"",IF($B$3="Gesamtportfolio",SUMIFS(Dashboard_Daten!$O$2:$O$70,Dashboard_Daten!$A$2:$A$70,$B$4),SUMIFS(Dashboard_Daten!$O$2:$O$70,Dashboard_Daten!$A$2:$A$70,$B$4,Dashboard_Daten!$C$2:$C$70,$B$3)))</f>
        <v>96401</v>
      </c>
      <c r="D14" s="24">
        <f t="shared" si="0"/>
        <v>-4229.8095238095266</v>
      </c>
      <c r="E14" s="14">
        <f>IF(OR(C14="",C14=0),"",D14/ABS(C14))</f>
        <v>-4.3877236997640338E-2</v>
      </c>
      <c r="N14" t="s">
        <v>80</v>
      </c>
    </row>
    <row r="15" spans="1:16" x14ac:dyDescent="0.35">
      <c r="A15" s="21" t="s">
        <v>15</v>
      </c>
      <c r="B15" s="25">
        <f>IFERROR(B13/B14,"")</f>
        <v>0.80685009002399777</v>
      </c>
      <c r="C15" s="25">
        <f>IFERROR(C13/C14,"")</f>
        <v>0.74731589921266373</v>
      </c>
      <c r="D15" s="25">
        <f t="shared" si="0"/>
        <v>5.9534190811334042E-2</v>
      </c>
      <c r="E15" s="26">
        <f>IF(D15="","",D15*100)</f>
        <v>5.9534190811334042</v>
      </c>
      <c r="N15" t="s">
        <v>81</v>
      </c>
    </row>
    <row r="16" spans="1:16" x14ac:dyDescent="0.35">
      <c r="A16" s="21" t="s">
        <v>16</v>
      </c>
      <c r="B16" s="27">
        <f>IFERROR(B12/B13,"")</f>
        <v>11.873004549427399</v>
      </c>
      <c r="C16" s="27">
        <f>IFERROR(C12/C13,"")</f>
        <v>11.938138308209098</v>
      </c>
      <c r="D16" s="27">
        <f t="shared" si="0"/>
        <v>-6.5133758781698248E-2</v>
      </c>
      <c r="E16" s="28">
        <f t="shared" ref="E16:E21" si="1">IF(OR(C16="",C16=0),"",D16/ABS(C16))</f>
        <v>-5.455939368444903E-3</v>
      </c>
      <c r="N16" t="s">
        <v>82</v>
      </c>
    </row>
    <row r="17" spans="1:14" ht="27.95" customHeight="1" x14ac:dyDescent="0.35">
      <c r="A17" s="21" t="s">
        <v>17</v>
      </c>
      <c r="B17" s="27">
        <f>IF($B$6=0,"",(IF($B$6=0,"",IF($B$3="Gesamtportfolio",SUMIFS(Dashboard_Daten!$U$2:$U$70,Dashboard_Daten!$A$2:$A$70,$B$2),SUMIFS(Dashboard_Daten!$U$2:$U$70,Dashboard_Daten!$A$2:$A$70,$B$2,Dashboard_Daten!$C$2:$C$70,$B$3))))/$B$6)</f>
        <v>15.680000000000001</v>
      </c>
      <c r="C17" s="27" cm="1">
        <f t="array" ref="C17">IF($B$7=0,"",(IF($B$7=0,"",IF($B$3="Gesamtportfolio",SUMIFS(Dashboard_Daten!$U$2:$U$70,Dashboard_Daten!$A$2:$A$70,$B$4),SUMIFS(Dashboard_Daten!$U$2:$U$70,Dashboard_Daten!$A$2:$A$70,$B$4,Dashboard_Daten!$C$2:$C$70,$B$3))))/$B$7)</f>
        <v>14.342469261065501</v>
      </c>
      <c r="D17" s="27">
        <f t="shared" si="0"/>
        <v>1.3375307389345004</v>
      </c>
      <c r="E17" s="28">
        <f t="shared" si="1"/>
        <v>9.3256657175860333E-2</v>
      </c>
      <c r="I17"/>
      <c r="N17" t="s">
        <v>83</v>
      </c>
    </row>
    <row r="18" spans="1:14" x14ac:dyDescent="0.35">
      <c r="A18" s="21" t="s">
        <v>18</v>
      </c>
      <c r="B18" s="23">
        <f>IF($B$6=0,"",IF($B$3="Gesamtportfolio",SUMIFS(Dashboard_Daten!$D$2:$D$70,Dashboard_Daten!$A$2:$A$70,$B$2),SUMIFS(Dashboard_Daten!$D$2:$D$70,Dashboard_Daten!$A$2:$A$70,$B$2,Dashboard_Daten!$C$2:$C$70,$B$3)))</f>
        <v>847782.55999999994</v>
      </c>
      <c r="C18" s="23">
        <f>IF($B$7=0,"",IF($B$3="Gesamtportfolio",SUMIFS(Dashboard_Daten!$D$2:$D$70,Dashboard_Daten!$A$2:$A$70,$B$4),SUMIFS(Dashboard_Daten!$D$2:$D$70,Dashboard_Daten!$A$2:$A$70,$B$4,Dashboard_Daten!$C$2:$C$70,$B$3)))</f>
        <v>810814.35999999987</v>
      </c>
      <c r="D18" s="23">
        <f t="shared" si="0"/>
        <v>36968.20000000007</v>
      </c>
      <c r="E18" s="28">
        <f t="shared" si="1"/>
        <v>4.5593913753574959E-2</v>
      </c>
      <c r="I18"/>
    </row>
    <row r="19" spans="1:14" x14ac:dyDescent="0.35">
      <c r="A19" s="21" t="s">
        <v>19</v>
      </c>
      <c r="B19" s="23">
        <f>IF($B$6=0,"",IF($B$3="Gesamtportfolio",SUMIFS(Dashboard_Daten!$K$2:$K$70,Dashboard_Daten!$A$2:$A$70,$B$2),SUMIFS(Dashboard_Daten!$K$2:$K$70,Dashboard_Daten!$A$2:$A$70,$B$2,Dashboard_Daten!$C$2:$C$70,$B$3)))</f>
        <v>35193</v>
      </c>
      <c r="C19" s="23">
        <f>IF($B$7=0,"",IF($B$3="Gesamtportfolio",SUMIFS(Dashboard_Daten!$K$2:$K$70,Dashboard_Daten!$A$2:$A$70,$B$4),SUMIFS(Dashboard_Daten!$K$2:$K$70,Dashboard_Daten!$A$2:$A$70,$B$4,Dashboard_Daten!$C$2:$C$70,$B$3)))</f>
        <v>49233</v>
      </c>
      <c r="D19" s="23">
        <f t="shared" si="0"/>
        <v>-14040</v>
      </c>
      <c r="E19" s="28">
        <f t="shared" si="1"/>
        <v>-0.28517457802693313</v>
      </c>
      <c r="I19"/>
    </row>
    <row r="20" spans="1:14" x14ac:dyDescent="0.35">
      <c r="A20" s="21" t="s">
        <v>20</v>
      </c>
      <c r="B20" s="23">
        <f>IF($B$6=0,"",IF($B$3="Gesamtportfolio",SUMIFS(Dashboard_Daten!$L$2:$L$70,Dashboard_Daten!$A$2:$A$70,$B$2),SUMIFS(Dashboard_Daten!$L$2:$L$70,Dashboard_Daten!$A$2:$A$70,$B$2,Dashboard_Daten!$C$2:$C$70,$B$3)))</f>
        <v>0</v>
      </c>
      <c r="C20" s="23">
        <f>IF($B$7=0,"",IF($B$3="Gesamtportfolio",SUMIFS(Dashboard_Daten!$L$2:$L$70,Dashboard_Daten!$A$2:$A$70,$B$4),SUMIFS(Dashboard_Daten!$L$2:$L$70,Dashboard_Daten!$A$2:$A$70,$B$4,Dashboard_Daten!$C$2:$C$70,$B$3)))</f>
        <v>0</v>
      </c>
      <c r="D20" s="23">
        <f t="shared" si="0"/>
        <v>0</v>
      </c>
      <c r="E20" s="28" t="str">
        <f t="shared" si="1"/>
        <v/>
      </c>
      <c r="I20"/>
    </row>
    <row r="21" spans="1:14" ht="27.95" customHeight="1" x14ac:dyDescent="0.35">
      <c r="A21" s="21" t="s" cm="1">
        <v>21</v>
      </c>
      <c r="B21" s="23">
        <f>IF($B$6=0,"",IF($B$3="Gesamtportfolio",SUMIFS(Dashboard_Daten!$H$2:$H$70,Dashboard_Daten!$A$2:$A$70,$B$2),SUMIFS(Dashboard_Daten!$H$2:$H$70,Dashboard_Daten!$A$2:$A$70,$B$2,Dashboard_Daten!$C$2:$C$70,$B$3)))</f>
        <v>1187332.96</v>
      </c>
      <c r="C21" s="23" cm="1">
        <f t="array" ref="C21">IF($B$7=0,"",IF($B$3="Gesamtportfolio",SUMIFS(Dashboard_Daten!$H$2:$H$70,Dashboard_Daten!$A$2:$A$70,$B$4),SUMIFS(Dashboard_Daten!$H$2:$H$70,Dashboard_Daten!$A$2:$A$70,$B$4,Dashboard_Daten!$C$2:$C$70,$B$3)))</f>
        <v>1691917.0999999999</v>
      </c>
      <c r="D21" s="23">
        <f t="shared" si="0"/>
        <v>-504584.1399999999</v>
      </c>
      <c r="E21" s="28">
        <f t="shared" si="1"/>
        <v>-0.29823218879932117</v>
      </c>
      <c r="I21"/>
    </row>
    <row r="22" spans="1:14" x14ac:dyDescent="0.35">
      <c r="A22" s="21" t="s">
        <v>22</v>
      </c>
      <c r="B22" s="25">
        <f>IFERROR(B18/B21,"")</f>
        <v>0.71402259396555445</v>
      </c>
      <c r="C22" s="25">
        <f>IFERROR(C18/C21,"")</f>
        <v>0.47922818440690734</v>
      </c>
      <c r="D22" s="25">
        <f t="shared" si="0"/>
        <v>0.23479440955864711</v>
      </c>
      <c r="E22" s="26">
        <f>IF(D22="","",D22*100)</f>
        <v>23.47944095586471</v>
      </c>
      <c r="I22"/>
    </row>
    <row r="23" spans="1:14" x14ac:dyDescent="0.35">
      <c r="A23" s="21" t="s">
        <v>23</v>
      </c>
      <c r="B23" s="25">
        <f>IFERROR((IF($B$6=0,"",IF($B$3="Gesamtportfolio",SUMIFS(Dashboard_Daten!$E$2:$E$70,Dashboard_Daten!$A$2:$A$70,$B$2)+SUMIFS(Dashboard_Daten!$F$2:$F$70,Dashboard_Daten!$A$2:$A$70,$B$2),SUMIFS(Dashboard_Daten!$E$2:$E$70,Dashboard_Daten!$A$2:$A$70,$B$2,Dashboard_Daten!$C$2:$C$70,$B$3)+SUMIFS(Dashboard_Daten!$F$2:$F$70,Dashboard_Daten!$A$2:$A$70,$B$2,Dashboard_Daten!$C$2:$C$70,$B$3))))/B21,"")</f>
        <v>0.28597740603444549</v>
      </c>
      <c r="C23" s="25">
        <f>IFERROR((IF($B$7=0,"",IF($B$3="Gesamtportfolio",SUMIFS(Dashboard_Daten!$E$2:$E$70,Dashboard_Daten!$A$2:$A$70,$B$4)+SUMIFS(Dashboard_Daten!$F$2:$F$70,Dashboard_Daten!$A$2:$A$70,$B$4),SUMIFS(Dashboard_Daten!$E$2:$E$70,Dashboard_Daten!$A$2:$A$70,$B$4,Dashboard_Daten!$C$2:$C$70,$B$3)+SUMIFS(Dashboard_Daten!$F$2:$F$70,Dashboard_Daten!$A$2:$A$70,$B$4,Dashboard_Daten!$C$2:$C$70,$B$3))))/C21,"")</f>
        <v>0.5207718155930926</v>
      </c>
      <c r="D23" s="25">
        <f t="shared" si="0"/>
        <v>-0.23479440955864711</v>
      </c>
      <c r="E23" s="26">
        <f>IF(D23="","",D23*100)</f>
        <v>-23.47944095586471</v>
      </c>
      <c r="I23"/>
    </row>
    <row r="24" spans="1:14" x14ac:dyDescent="0.35">
      <c r="A24" s="21" t="s">
        <v>24</v>
      </c>
      <c r="B24" s="27">
        <f>IF(OR(B16="",B17=""),"",B17-B16)</f>
        <v>3.806995450572602</v>
      </c>
      <c r="C24" s="27">
        <f>IF(OR(C16="",C17=""),"",C17-C16)</f>
        <v>2.4043309528564034</v>
      </c>
      <c r="D24" s="27">
        <f t="shared" si="0"/>
        <v>1.4026644977161986</v>
      </c>
      <c r="E24" s="14"/>
      <c r="I24"/>
    </row>
    <row r="25" spans="1:14" x14ac:dyDescent="0.35">
      <c r="A25" s="21" t="s" cm="1">
        <v>25</v>
      </c>
      <c r="B25" s="24">
        <f>IF($B$6=0,"",IF($B$3="Gesamtportfolio",SUMIFS(Dashboard_Daten!$N$2:$N$70,Dashboard_Daten!$A$2:$A$70,$B$2),SUMIFS(Dashboard_Daten!$N$2:$N$70,Dashboard_Daten!$A$2:$A$70,$B$2,Dashboard_Daten!$C$2:$C$70,$B$3)))</f>
        <v>53822</v>
      </c>
      <c r="C25" s="24" cm="1">
        <f t="array" ref="C25">IF($B$7=0,"",IF($B$3="Gesamtportfolio",SUMIFS(Dashboard_Daten!$N$2:$N$70,Dashboard_Daten!$A$2:$A$70,$B$4),SUMIFS(Dashboard_Daten!$N$2:$N$70,Dashboard_Daten!$A$2:$A$70,$B$4,Dashboard_Daten!$C$2:$C$70,$B$3)))</f>
        <v>96401</v>
      </c>
      <c r="D25" s="24">
        <f t="shared" si="0"/>
        <v>-42579</v>
      </c>
      <c r="E25" s="28">
        <f>IF(OR(C25="",C25=0),"",D25/ABS(C25))</f>
        <v>-0.44168628956131162</v>
      </c>
      <c r="I25"/>
    </row>
    <row r="26" spans="1:14" x14ac:dyDescent="0.35">
      <c r="A26" s="21" t="s">
        <v>26</v>
      </c>
      <c r="B26" s="24">
        <f>IF($B$6=0,"",IF($B$3="Gesamtportfolio",SUMIFS(Dashboard_Daten!$Q$2:$Q$70,Dashboard_Daten!$A$2:$A$70,$B$2),SUMIFS(Dashboard_Daten!$Q$2:$Q$70,Dashboard_Daten!$A$2:$A$70,$B$2,Dashboard_Daten!$C$2:$C$70,$B$3)))</f>
        <v>43437</v>
      </c>
      <c r="C26" s="24">
        <f>IF($B$7=0,"",IF($B$3="Gesamtportfolio",SUMIFS(Dashboard_Daten!$Q$2:$Q$70,Dashboard_Daten!$A$2:$A$70,$B$4),SUMIFS(Dashboard_Daten!$Q$2:$Q$70,Dashboard_Daten!$A$2:$A$70,$B$4,Dashboard_Daten!$C$2:$C$70,$B$3)))</f>
        <v>70637.166666666672</v>
      </c>
      <c r="D26" s="24">
        <f t="shared" si="0"/>
        <v>-27200.166666666672</v>
      </c>
      <c r="E26" s="28">
        <f>IF(OR(C26="",C26=0),"",D26/ABS(C26))</f>
        <v>-0.38506876691449027</v>
      </c>
      <c r="I26"/>
    </row>
    <row r="27" spans="1:14" x14ac:dyDescent="0.35">
      <c r="A27" s="22" t="s">
        <v>27</v>
      </c>
      <c r="B27" s="29" t="str">
        <f>IF($B$3="Gesamtportfolio","",IF(SUMIFS(Dashboard_Daten!$P$2:$P$70,Dashboard_Daten!$A$2:$A$70,$B$2,Dashboard_Daten!$C$2:$C$70,$B$3)=0,"",SUMIFS(Dashboard_Daten!$P$2:$P$70,Dashboard_Daten!$A$2:$A$70,$B$2,Dashboard_Daten!$C$2:$C$70,$B$3)))</f>
        <v/>
      </c>
      <c r="C27" s="29" t="str">
        <f>IF($B$3="Gesamtportfolio","",IF(SUMIFS(Dashboard_Daten!$P$2:$P$70,Dashboard_Daten!$A$2:$A$70,$B$4,Dashboard_Daten!$C$2:$C$70,$B$3)=0,"",SUMIFS(Dashboard_Daten!$P$2:$P$70,Dashboard_Daten!$A$2:$A$70,$B$4,Dashboard_Daten!$C$2:$C$70,$B$3)))</f>
        <v/>
      </c>
      <c r="D27" s="29" t="str">
        <f t="shared" si="0"/>
        <v/>
      </c>
      <c r="E27" s="17"/>
      <c r="I27"/>
    </row>
    <row r="28" spans="1:14" x14ac:dyDescent="0.35">
      <c r="A28"/>
      <c r="C28"/>
      <c r="E28"/>
      <c r="I28"/>
    </row>
    <row r="29" spans="1:14" x14ac:dyDescent="0.35">
      <c r="A29" s="30" t="s" cm="1">
        <v>28</v>
      </c>
      <c r="B29" s="31" t="s">
        <v>29</v>
      </c>
      <c r="C29" s="32" t="s" cm="1">
        <v>30</v>
      </c>
      <c r="E29"/>
      <c r="I29"/>
    </row>
    <row r="30" spans="1:14" x14ac:dyDescent="0.35">
      <c r="A30" s="12" t="s">
        <v>31</v>
      </c>
      <c r="B30" s="23">
        <f>IF(OR(C14="",C15="",C17=""),"",(B14-C14)*C15*C17)</f>
        <v>-45336.601381500019</v>
      </c>
      <c r="C30" s="33">
        <f>IF(B30="","",ABS(B30))</f>
        <v>45336.601381500019</v>
      </c>
      <c r="I30"/>
    </row>
    <row r="31" spans="1:14" x14ac:dyDescent="0.35">
      <c r="A31" s="12" t="s">
        <v>32</v>
      </c>
      <c r="B31" s="23">
        <f>IF(OR(B14="",B15="",C15="",C17=""),"",B14*(B15-C15)*C17)</f>
        <v>78701.965705825394</v>
      </c>
      <c r="C31" s="33">
        <f>IF(B31="","",ABS(B31))</f>
        <v>78701.965705825394</v>
      </c>
      <c r="E31"/>
      <c r="I31"/>
    </row>
    <row r="32" spans="1:14" x14ac:dyDescent="0.35">
      <c r="A32" s="12" t="s" cm="1">
        <v>33</v>
      </c>
      <c r="B32" s="23">
        <f>IF(OR(B13="",B17="",C17=""),"",B13*(B17-C17))</f>
        <v>99469.931836660558</v>
      </c>
      <c r="C32" s="33" cm="1">
        <f t="array" ref="C32">IF(B32="","",ABS(B32))</f>
        <v>99469.931836660558</v>
      </c>
      <c r="E32"/>
      <c r="I32"/>
    </row>
    <row r="33" spans="1:12" x14ac:dyDescent="0.35">
      <c r="A33" s="12" t="s">
        <v>34</v>
      </c>
      <c r="B33" s="23">
        <f>IF(OR(B18="",C18=""),"",-(B18-C18))</f>
        <v>-36968.20000000007</v>
      </c>
      <c r="C33" s="33">
        <f>IF(B33="","",ABS(B33))</f>
        <v>36968.20000000007</v>
      </c>
      <c r="I33"/>
    </row>
    <row r="34" spans="1:12" x14ac:dyDescent="0.35">
      <c r="A34" s="12" t="s">
        <v>35</v>
      </c>
      <c r="B34" s="23">
        <f>IF(OR(B19="",C19=""),"",-(B19-C19))</f>
        <v>14040</v>
      </c>
      <c r="C34" s="33">
        <f>IF(B34="","",ABS(B34))</f>
        <v>14040</v>
      </c>
      <c r="E34"/>
      <c r="I34"/>
    </row>
    <row r="35" spans="1:12" x14ac:dyDescent="0.35">
      <c r="A35" s="12" t="s" cm="1">
        <v>36</v>
      </c>
      <c r="B35" s="23">
        <f>IF(OR(B20="",C20=""),"",-(B20-C20))</f>
        <v>0</v>
      </c>
      <c r="C35" s="33" cm="1">
        <f t="array" ref="C35">IF(B35="","",ABS(B35))</f>
        <v>0</v>
      </c>
      <c r="E35"/>
      <c r="I35"/>
    </row>
    <row r="36" spans="1:12" x14ac:dyDescent="0.35">
      <c r="A36" s="12" t="s">
        <v>37</v>
      </c>
      <c r="B36" s="23">
        <f>IF(COUNT(B30:B35)=0,"",SUM(B30:B35))</f>
        <v>109907.09616098588</v>
      </c>
      <c r="C36" s="33"/>
      <c r="I36"/>
    </row>
    <row r="37" spans="1:12" x14ac:dyDescent="0.35">
      <c r="A37" s="12" t="s">
        <v>38</v>
      </c>
      <c r="B37" s="23">
        <f>D10</f>
        <v>109907.09616098585</v>
      </c>
      <c r="C37" s="33"/>
      <c r="E37"/>
      <c r="I37"/>
    </row>
    <row r="38" spans="1:12" x14ac:dyDescent="0.35">
      <c r="A38" s="12" t="s" cm="1">
        <v>39</v>
      </c>
      <c r="B38" s="23">
        <f>IF(OR(B36="",B37=""),"",IF(ABS(B37-B36)&lt;0.01,0,B37-B36))</f>
        <v>0</v>
      </c>
      <c r="C38" s="33" cm="1"/>
      <c r="E38"/>
    </row>
    <row r="39" spans="1:12" x14ac:dyDescent="0.35">
      <c r="A39" s="12"/>
      <c r="B39" s="13"/>
      <c r="C39" s="14"/>
    </row>
    <row r="40" spans="1:12" x14ac:dyDescent="0.35">
      <c r="A40" s="15" t="s">
        <v>40</v>
      </c>
      <c r="B40" s="16" t="str">
        <f>IF(COUNT(C30:C35)=0,"",INDEX(A30:A35,MATCH(MAX(C30:C35),C30:C35,0)))</f>
        <v>Medianwirkung</v>
      </c>
      <c r="C40" s="34">
        <f>IF(B40="","",INDEX(B30:B35,MATCH(MAX(C30:C35),C30:C35,0)))</f>
        <v>99469.931836660558</v>
      </c>
      <c r="E40"/>
    </row>
    <row r="41" spans="1:12" x14ac:dyDescent="0.35">
      <c r="A41" cm="1"/>
      <c r="C41" cm="1"/>
      <c r="E41"/>
    </row>
    <row r="43" spans="1:12" x14ac:dyDescent="0.35">
      <c r="A43" s="41" t="s">
        <v>84</v>
      </c>
      <c r="B43" s="42" t="s">
        <v>63</v>
      </c>
      <c r="C43" s="42" t="s">
        <v>85</v>
      </c>
      <c r="D43" s="43" t="s">
        <v>86</v>
      </c>
    </row>
    <row r="44" spans="1:12" x14ac:dyDescent="0.35">
      <c r="A44" s="35" t="s">
        <v>68</v>
      </c>
      <c r="B44" s="36"/>
      <c r="C44" s="36"/>
      <c r="D44" s="37"/>
      <c r="J44" s="46" t="s">
        <v>1</v>
      </c>
      <c r="K44" s="47" t="s">
        <v>10</v>
      </c>
      <c r="L44" t="s">
        <v>87</v>
      </c>
    </row>
    <row r="45" spans="1:12" x14ac:dyDescent="0.35">
      <c r="A45" s="35" t="s">
        <v>69</v>
      </c>
      <c r="B45" s="44">
        <f>IF(COUNTIFS(Dashboard_Daten!$A$2:$A$70,$B$2,Dashboard_Daten!$C$2:$C$70,A45)=0,"",SUMIFS(Dashboard_Daten!$V$2:$V$70,Dashboard_Daten!$A$2:$A$70,$B$2,Dashboard_Daten!$C$2:$C$70,A45))</f>
        <v>-5569.84</v>
      </c>
      <c r="C45" s="36">
        <f>COUNTIFS(Dashboard_Daten!$A$2:$A$70,$B$2,Dashboard_Daten!$C$2:$C$70,A45)</f>
        <v>1</v>
      </c>
      <c r="D45" s="37">
        <f t="shared" ref="D45:D56" si="2">IF(OR(C45=0,B45&gt;=0),1E+99,B45)</f>
        <v>-5569.84</v>
      </c>
      <c r="J45" s="35" t="str">
        <f>IF(1&gt;COUNTIFS($C$45:$C$59,"&gt;0",$B$45:$B$59,"&lt;0"),"",INDEX($A$45:$A$59,MATCH(SMALL($D$45:$D$59,1),$D$45:$D$59,0)))</f>
        <v>WoTa "Am Wassertor"</v>
      </c>
      <c r="K45" s="48">
        <f t="shared" ref="K45:K50" si="3">IF(J45="","",INDEX($B$45:$B$59,MATCH(J45,$A$45:$A$59,0)))</f>
        <v>-10179.630000000005</v>
      </c>
      <c r="L45" t="str">
        <f t="shared" ref="L45:L50" si="4">IF(J45="","",LEFT(J45,18))</f>
        <v>WoTa "Am Wassertor</v>
      </c>
    </row>
    <row r="46" spans="1:12" x14ac:dyDescent="0.35">
      <c r="A46" s="35" t="s">
        <v>70</v>
      </c>
      <c r="B46" s="44">
        <f>IF(COUNTIFS(Dashboard_Daten!$A$2:$A$70,$B$2,Dashboard_Daten!$C$2:$C$70,A46)=0,"",SUMIFS(Dashboard_Daten!$V$2:$V$70,Dashboard_Daten!$A$2:$A$70,$B$2,Dashboard_Daten!$C$2:$C$70,A46))</f>
        <v>29299.566666666662</v>
      </c>
      <c r="C46" s="36">
        <f>COUNTIFS(Dashboard_Daten!$A$2:$A$70,$B$2,Dashboard_Daten!$C$2:$C$70,A46)</f>
        <v>1</v>
      </c>
      <c r="D46" s="37">
        <f t="shared" si="2"/>
        <v>9.9999999999999997E+98</v>
      </c>
      <c r="J46" s="35" t="str">
        <f>IF(2&gt;COUNTIFS($C$45:$C$59,"&gt;0",$B$45:$B$59,"&lt;0"),"",INDEX($A$45:$A$59,MATCH(SMALL($D$45:$D$59,2),$D$45:$D$59,0)))</f>
        <v>Medizinische Betreuung Obdachloser</v>
      </c>
      <c r="K46" s="48">
        <f t="shared" si="3"/>
        <v>-5569.84</v>
      </c>
      <c r="L46" t="str">
        <f t="shared" si="4"/>
        <v>Medizinische Betre</v>
      </c>
    </row>
    <row r="47" spans="1:12" x14ac:dyDescent="0.35">
      <c r="A47" s="35" t="s">
        <v>71</v>
      </c>
      <c r="B47" s="44">
        <f>IF(COUNTIFS(Dashboard_Daten!$A$2:$A$70,$B$2,Dashboard_Daten!$C$2:$C$70,A47)=0,"",SUMIFS(Dashboard_Daten!$V$2:$V$70,Dashboard_Daten!$A$2:$A$70,$B$2,Dashboard_Daten!$C$2:$C$70,A47))</f>
        <v>-10179.630000000005</v>
      </c>
      <c r="C47" s="36">
        <f>COUNTIFS(Dashboard_Daten!$A$2:$A$70,$B$2,Dashboard_Daten!$C$2:$C$70,A47)</f>
        <v>1</v>
      </c>
      <c r="D47" s="37">
        <f t="shared" si="2"/>
        <v>-10179.630000000005</v>
      </c>
      <c r="J47" s="35" t="str">
        <f>IF(3&gt;COUNTIFS($C$45:$C$59,"&gt;0",$B$45:$B$59,"&lt;0"),"",INDEX($A$45:$A$59,MATCH(SMALL($D$45:$D$59,3),$D$45:$D$59,0)))</f>
        <v/>
      </c>
      <c r="K47" s="48" t="str">
        <f t="shared" si="3"/>
        <v/>
      </c>
      <c r="L47" t="str">
        <f t="shared" si="4"/>
        <v/>
      </c>
    </row>
    <row r="48" spans="1:12" x14ac:dyDescent="0.35">
      <c r="A48" s="35" t="s">
        <v>72</v>
      </c>
      <c r="B48" s="44" t="str">
        <f>IF(COUNTIFS(Dashboard_Daten!$A$2:$A$70,$B$2,Dashboard_Daten!$C$2:$C$70,A48)=0,"",SUMIFS(Dashboard_Daten!$V$2:$V$70,Dashboard_Daten!$A$2:$A$70,$B$2,Dashboard_Daten!$C$2:$C$70,A48))</f>
        <v/>
      </c>
      <c r="C48" s="36">
        <f>COUNTIFS(Dashboard_Daten!$A$2:$A$70,$B$2,Dashboard_Daten!$C$2:$C$70,A48)</f>
        <v>0</v>
      </c>
      <c r="D48" s="37">
        <f t="shared" si="2"/>
        <v>9.9999999999999997E+98</v>
      </c>
      <c r="J48" s="35" t="str">
        <f>IF(4&gt;COUNTIFS($C$45:$C$59,"&gt;0",$B$45:$B$59,"&lt;0"),"",INDEX($A$45:$A$59,MATCH(SMALL($D$45:$D$59,4),$D$45:$D$59,0)))</f>
        <v/>
      </c>
      <c r="K48" s="48" t="str">
        <f t="shared" si="3"/>
        <v/>
      </c>
      <c r="L48" t="str">
        <f t="shared" si="4"/>
        <v/>
      </c>
    </row>
    <row r="49" spans="1:12" x14ac:dyDescent="0.35">
      <c r="A49" s="35" t="s">
        <v>73</v>
      </c>
      <c r="B49" s="44">
        <f>IF(COUNTIFS(Dashboard_Daten!$A$2:$A$70,$B$2,Dashboard_Daten!$C$2:$C$70,A49)=0,"",SUMIFS(Dashboard_Daten!$V$2:$V$70,Dashboard_Daten!$A$2:$A$70,$B$2,Dashboard_Daten!$C$2:$C$70,A49))</f>
        <v>171701.86</v>
      </c>
      <c r="C49" s="36">
        <f>COUNTIFS(Dashboard_Daten!$A$2:$A$70,$B$2,Dashboard_Daten!$C$2:$C$70,A49)</f>
        <v>1</v>
      </c>
      <c r="D49" s="37">
        <f t="shared" si="2"/>
        <v>9.9999999999999997E+98</v>
      </c>
      <c r="J49" s="35" t="str">
        <f>IF(5&gt;COUNTIFS($C$45:$C$59,"&gt;0",$B$45:$B$59,"&lt;0"),"",INDEX($A$45:$A$59,MATCH(SMALL($D$45:$D$59,5),$D$45:$D$59,0)))</f>
        <v/>
      </c>
      <c r="K49" s="48" t="str">
        <f t="shared" si="3"/>
        <v/>
      </c>
      <c r="L49" t="str">
        <f t="shared" si="4"/>
        <v/>
      </c>
    </row>
    <row r="50" spans="1:12" x14ac:dyDescent="0.35">
      <c r="A50" s="35" t="s">
        <v>74</v>
      </c>
      <c r="B50" s="44">
        <f>IF(COUNTIFS(Dashboard_Daten!$A$2:$A$70,$B$2,Dashboard_Daten!$C$2:$C$70,A50)=0,"",SUMIFS(Dashboard_Daten!$V$2:$V$70,Dashboard_Daten!$A$2:$A$70,$B$2,Dashboard_Daten!$C$2:$C$70,A50))</f>
        <v>97867.949999999983</v>
      </c>
      <c r="C50" s="36">
        <f>COUNTIFS(Dashboard_Daten!$A$2:$A$70,$B$2,Dashboard_Daten!$C$2:$C$70,A50)</f>
        <v>1</v>
      </c>
      <c r="D50" s="37">
        <f t="shared" si="2"/>
        <v>9.9999999999999997E+98</v>
      </c>
      <c r="J50" s="38" t="str">
        <f>IF(6&gt;COUNTIFS($C$45:$C$59,"&gt;0",$B$45:$B$59,"&lt;0"),"",INDEX($A$45:$A$59,MATCH(SMALL($D$45:$D$59,6),$D$45:$D$59,0)))</f>
        <v/>
      </c>
      <c r="K50" s="49" t="str">
        <f t="shared" si="3"/>
        <v/>
      </c>
      <c r="L50" t="str">
        <f t="shared" si="4"/>
        <v/>
      </c>
    </row>
    <row r="51" spans="1:12" x14ac:dyDescent="0.35">
      <c r="A51" s="35" t="s">
        <v>75</v>
      </c>
      <c r="B51" s="44" t="str">
        <f>IF(COUNTIFS(Dashboard_Daten!$A$2:$A$70,$B$2,Dashboard_Daten!$C$2:$C$70,A51)=0,"",SUMIFS(Dashboard_Daten!$V$2:$V$70,Dashboard_Daten!$A$2:$A$70,$B$2,Dashboard_Daten!$C$2:$C$70,A51))</f>
        <v/>
      </c>
      <c r="C51" s="36">
        <f>COUNTIFS(Dashboard_Daten!$A$2:$A$70,$B$2,Dashboard_Daten!$C$2:$C$70,A51)</f>
        <v>0</v>
      </c>
      <c r="D51" s="37">
        <f t="shared" si="2"/>
        <v>9.9999999999999997E+98</v>
      </c>
    </row>
    <row r="52" spans="1:12" x14ac:dyDescent="0.35">
      <c r="A52" s="35" t="s">
        <v>76</v>
      </c>
      <c r="B52" s="44" t="str">
        <f>IF(COUNTIFS(Dashboard_Daten!$A$2:$A$70,$B$2,Dashboard_Daten!$C$2:$C$70,A52)=0,"",SUMIFS(Dashboard_Daten!$V$2:$V$70,Dashboard_Daten!$A$2:$A$70,$B$2,Dashboard_Daten!$C$2:$C$70,A52))</f>
        <v/>
      </c>
      <c r="C52" s="36">
        <f>COUNTIFS(Dashboard_Daten!$A$2:$A$70,$B$2,Dashboard_Daten!$C$2:$C$70,A52)</f>
        <v>0</v>
      </c>
      <c r="D52" s="37">
        <f t="shared" si="2"/>
        <v>9.9999999999999997E+98</v>
      </c>
    </row>
    <row r="53" spans="1:12" x14ac:dyDescent="0.35">
      <c r="A53" s="35" t="s">
        <v>77</v>
      </c>
      <c r="B53" s="44" t="str">
        <f>IF(COUNTIFS(Dashboard_Daten!$A$2:$A$70,$B$2,Dashboard_Daten!$C$2:$C$70,A53)=0,"",SUMIFS(Dashboard_Daten!$V$2:$V$70,Dashboard_Daten!$A$2:$A$70,$B$2,Dashboard_Daten!$C$2:$C$70,A53))</f>
        <v/>
      </c>
      <c r="C53" s="36">
        <f>COUNTIFS(Dashboard_Daten!$A$2:$A$70,$B$2,Dashboard_Daten!$C$2:$C$70,A53)</f>
        <v>0</v>
      </c>
      <c r="D53" s="37">
        <f t="shared" si="2"/>
        <v>9.9999999999999997E+98</v>
      </c>
    </row>
    <row r="54" spans="1:12" x14ac:dyDescent="0.35">
      <c r="A54" s="35" t="s">
        <v>78</v>
      </c>
      <c r="B54" s="44" t="str">
        <f>IF(COUNTIFS(Dashboard_Daten!$A$2:$A$70,$B$2,Dashboard_Daten!$C$2:$C$70,A54)=0,"",SUMIFS(Dashboard_Daten!$V$2:$V$70,Dashboard_Daten!$A$2:$A$70,$B$2,Dashboard_Daten!$C$2:$C$70,A54))</f>
        <v/>
      </c>
      <c r="C54" s="36">
        <f>COUNTIFS(Dashboard_Daten!$A$2:$A$70,$B$2,Dashboard_Daten!$C$2:$C$70,A54)</f>
        <v>0</v>
      </c>
      <c r="D54" s="37">
        <f t="shared" si="2"/>
        <v>9.9999999999999997E+98</v>
      </c>
    </row>
    <row r="55" spans="1:12" x14ac:dyDescent="0.35">
      <c r="A55" s="35" t="s">
        <v>79</v>
      </c>
      <c r="B55" s="44" t="str">
        <f>IF(COUNTIFS(Dashboard_Daten!$A$2:$A$70,$B$2,Dashboard_Daten!$C$2:$C$70,A55)=0,"",SUMIFS(Dashboard_Daten!$V$2:$V$70,Dashboard_Daten!$A$2:$A$70,$B$2,Dashboard_Daten!$C$2:$C$70,A55))</f>
        <v/>
      </c>
      <c r="C55" s="36">
        <f>COUNTIFS(Dashboard_Daten!$A$2:$A$70,$B$2,Dashboard_Daten!$C$2:$C$70,A55)</f>
        <v>0</v>
      </c>
      <c r="D55" s="37">
        <f t="shared" si="2"/>
        <v>9.9999999999999997E+98</v>
      </c>
    </row>
    <row r="56" spans="1:12" x14ac:dyDescent="0.35">
      <c r="A56" s="38" t="s">
        <v>80</v>
      </c>
      <c r="B56" s="45" t="str">
        <f>IF(COUNTIFS(Dashboard_Daten!$A$2:$A$70,$B$2,Dashboard_Daten!$C$2:$C$70,A56)=0,"",SUMIFS(Dashboard_Daten!$V$2:$V$70,Dashboard_Daten!$A$2:$A$70,$B$2,Dashboard_Daten!$C$2:$C$70,A56))</f>
        <v/>
      </c>
      <c r="C56" s="39">
        <f>COUNTIFS(Dashboard_Daten!$A$2:$A$70,$B$2,Dashboard_Daten!$C$2:$C$70,A56)</f>
        <v>0</v>
      </c>
      <c r="D56" s="40">
        <f t="shared" si="2"/>
        <v>9.9999999999999997E+98</v>
      </c>
    </row>
    <row r="57" spans="1:12" x14ac:dyDescent="0.35">
      <c r="A57" t="s">
        <v>81</v>
      </c>
      <c r="B57" t="str">
        <f>IF(COUNTIFS(Dashboard_Daten!$A$2:$A$70,$B$2,Dashboard_Daten!$C$2:$C$70,A57)=0,"",SUMIFS(Dashboard_Daten!$V$2:$V$70,Dashboard_Daten!$A$2:$A$70,$B$2,Dashboard_Daten!$C$2:$C$70,A57))</f>
        <v/>
      </c>
      <c r="C57">
        <f>COUNTIFS(Dashboard_Daten!$A$2:$A$70,$B$2,Dashboard_Daten!$C$2:$C$70,A57)</f>
        <v>0</v>
      </c>
      <c r="D57">
        <f>IF(OR(C57=0,B57&gt;=0),1E+99,B57)</f>
        <v>9.9999999999999997E+98</v>
      </c>
    </row>
    <row r="58" spans="1:12" x14ac:dyDescent="0.35">
      <c r="A58" t="s">
        <v>82</v>
      </c>
      <c r="B58" t="str">
        <f>IF(COUNTIFS(Dashboard_Daten!$A$2:$A$70,$B$2,Dashboard_Daten!$C$2:$C$70,A58)=0,"",SUMIFS(Dashboard_Daten!$V$2:$V$70,Dashboard_Daten!$A$2:$A$70,$B$2,Dashboard_Daten!$C$2:$C$70,A58))</f>
        <v/>
      </c>
      <c r="C58">
        <f>COUNTIFS(Dashboard_Daten!$A$2:$A$70,$B$2,Dashboard_Daten!$C$2:$C$70,A58)</f>
        <v>0</v>
      </c>
      <c r="D58">
        <f>IF(OR(C58=0,B58&gt;=0),1E+99,B58)</f>
        <v>9.9999999999999997E+98</v>
      </c>
    </row>
    <row r="59" spans="1:12" x14ac:dyDescent="0.35">
      <c r="A59" t="s">
        <v>83</v>
      </c>
      <c r="B59" t="str">
        <f>IF(COUNTIFS(Dashboard_Daten!$A$2:$A$70,$B$2,Dashboard_Daten!$C$2:$C$70,A59)=0,"",SUMIFS(Dashboard_Daten!$V$2:$V$70,Dashboard_Daten!$A$2:$A$70,$B$2,Dashboard_Daten!$C$2:$C$70,A59))</f>
        <v/>
      </c>
      <c r="C59">
        <f>COUNTIFS(Dashboard_Daten!$A$2:$A$70,$B$2,Dashboard_Daten!$C$2:$C$70,A59)</f>
        <v>0</v>
      </c>
      <c r="D59">
        <f>IF(OR(C59=0,B59&gt;=0),1E+99,B59)</f>
        <v>9.9999999999999997E+98</v>
      </c>
    </row>
    <row r="60" spans="1:12" x14ac:dyDescent="0.35">
      <c r="A60" s="11" t="s">
        <v>59</v>
      </c>
      <c r="B60" s="50">
        <f>SUMIFS(Dashboard_Daten!$V$2:$V$70,Dashboard_Daten!$A$2:$A$70,$B$2)</f>
        <v>283119.90666666662</v>
      </c>
    </row>
    <row r="61" spans="1:12" x14ac:dyDescent="0.35">
      <c r="A61" s="11" t="s">
        <v>60</v>
      </c>
      <c r="B61" s="10">
        <f>COUNTIFS(Dashboard_Daten!$A$2:$A$70,$B$2,Dashboard_Daten!$V$2:$V$70,"&lt;0")</f>
        <v>2</v>
      </c>
    </row>
    <row r="62" spans="1:12" x14ac:dyDescent="0.35">
      <c r="A62" s="11" t="s">
        <v>61</v>
      </c>
      <c r="B62" s="10">
        <f>COUNTIFS(Dashboard_Daten!$A$2:$A$70,$B$2,Dashboard_Daten!$V$2:$V$70,"&gt;0")</f>
        <v>3</v>
      </c>
    </row>
    <row r="63" spans="1:12" x14ac:dyDescent="0.35">
      <c r="A63" s="11" t="s">
        <v>62</v>
      </c>
      <c r="B63" s="10">
        <f>COUNTIF(Dashboard_Daten!$A$2:$A$70,$B$2)</f>
        <v>5</v>
      </c>
    </row>
  </sheetData>
  <mergeCells count="1">
    <mergeCell ref="A1:P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8"/>
  <sheetViews>
    <sheetView showGridLines="0" tabSelected="1" topLeftCell="A2" workbookViewId="0">
      <selection activeCell="B4" sqref="B4"/>
    </sheetView>
  </sheetViews>
  <sheetFormatPr baseColWidth="10" defaultRowHeight="17.25" x14ac:dyDescent="0.35"/>
  <cols>
    <col min="1" max="3" width="11" style="51" customWidth="1"/>
    <col min="4" max="4" width="6" style="51" customWidth="1"/>
    <col min="5" max="5" width="19" style="51" customWidth="1"/>
    <col min="6" max="11" width="11" style="51" customWidth="1"/>
    <col min="12" max="12" width="6" style="51" customWidth="1"/>
    <col min="13" max="19" width="11" style="51" customWidth="1"/>
    <col min="20" max="16384" width="11.42578125" style="51"/>
  </cols>
  <sheetData>
    <row r="1" spans="1:19" ht="33.950000000000003" customHeight="1" x14ac:dyDescent="0.35">
      <c r="A1" s="109" t="s">
        <v>88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19" ht="23.1" customHeight="1" x14ac:dyDescent="0.35">
      <c r="A2" s="110" t="s">
        <v>89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</row>
    <row r="3" spans="1:19" ht="7.5" customHeight="1" thickBot="1" x14ac:dyDescent="0.4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ht="18" thickBot="1" x14ac:dyDescent="0.4">
      <c r="A4" s="93" t="s">
        <v>41</v>
      </c>
      <c r="B4" s="91">
        <v>2026</v>
      </c>
      <c r="C4" s="122" t="s">
        <v>1</v>
      </c>
      <c r="D4" s="123"/>
      <c r="E4" s="92" t="s">
        <v>68</v>
      </c>
      <c r="F4" s="83"/>
      <c r="G4" s="111" t="str">
        <f>IF(KPI!$B$5="Hochrechnung","Hochrechnung auf Basis der laufenden Mengen","Jahresabschlusswert")</f>
        <v>Hochrechnung auf Basis der laufenden Mengen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</row>
    <row r="5" spans="1:19" ht="7.5" customHeight="1" thickBot="1" x14ac:dyDescent="0.4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19" ht="30" customHeight="1" x14ac:dyDescent="0.35">
      <c r="A6" s="113" t="s">
        <v>10</v>
      </c>
      <c r="B6" s="114"/>
      <c r="C6" s="115"/>
      <c r="D6" s="52"/>
      <c r="E6" s="97" t="s">
        <v>13</v>
      </c>
      <c r="F6" s="98"/>
      <c r="G6" s="99"/>
      <c r="H6" s="52"/>
      <c r="I6" s="97" t="s">
        <v>42</v>
      </c>
      <c r="J6" s="98"/>
      <c r="K6" s="99"/>
      <c r="L6" s="52"/>
      <c r="M6" s="97" t="s">
        <v>43</v>
      </c>
      <c r="N6" s="98"/>
      <c r="O6" s="99"/>
      <c r="P6" s="52"/>
      <c r="Q6" s="97" t="s">
        <v>44</v>
      </c>
      <c r="R6" s="98"/>
      <c r="S6" s="99"/>
    </row>
    <row r="7" spans="1:19" ht="20.25" customHeight="1" x14ac:dyDescent="0.35">
      <c r="A7" s="148">
        <f>KPI!B10</f>
        <v>283119.90666666662</v>
      </c>
      <c r="B7" s="149"/>
      <c r="C7" s="150"/>
      <c r="D7" s="52"/>
      <c r="E7" s="100">
        <f>KPI!B13</f>
        <v>74368.333333333328</v>
      </c>
      <c r="F7" s="101"/>
      <c r="G7" s="102"/>
      <c r="H7" s="52"/>
      <c r="I7" s="116">
        <f>KPI!B16</f>
        <v>11.873004549427399</v>
      </c>
      <c r="J7" s="117"/>
      <c r="K7" s="118"/>
      <c r="L7" s="52"/>
      <c r="M7" s="116">
        <f>KPI!B17</f>
        <v>15.680000000000001</v>
      </c>
      <c r="N7" s="117"/>
      <c r="O7" s="118"/>
      <c r="P7" s="52"/>
      <c r="Q7" s="119">
        <f>KPI!B12</f>
        <v>882975.55999999994</v>
      </c>
      <c r="R7" s="120"/>
      <c r="S7" s="121"/>
    </row>
    <row r="8" spans="1:19" ht="20.25" customHeight="1" x14ac:dyDescent="0.35">
      <c r="A8" s="148"/>
      <c r="B8" s="149"/>
      <c r="C8" s="150"/>
      <c r="D8" s="52"/>
      <c r="E8" s="100"/>
      <c r="F8" s="101"/>
      <c r="G8" s="102"/>
      <c r="H8" s="52"/>
      <c r="I8" s="116"/>
      <c r="J8" s="117"/>
      <c r="K8" s="118"/>
      <c r="L8" s="52"/>
      <c r="M8" s="116"/>
      <c r="N8" s="117"/>
      <c r="O8" s="118"/>
      <c r="P8" s="52"/>
      <c r="Q8" s="119"/>
      <c r="R8" s="120"/>
      <c r="S8" s="121"/>
    </row>
    <row r="9" spans="1:19" x14ac:dyDescent="0.35">
      <c r="A9" s="89" t="s">
        <v>45</v>
      </c>
      <c r="B9" s="151">
        <f>KPI!D10</f>
        <v>109907.09616098585</v>
      </c>
      <c r="C9" s="152"/>
      <c r="D9" s="52"/>
      <c r="E9" s="87" t="s">
        <v>45</v>
      </c>
      <c r="F9" s="103">
        <f>KPI!E13</f>
        <v>3.2291348565188754E-2</v>
      </c>
      <c r="G9" s="104"/>
      <c r="H9" s="52"/>
      <c r="I9" s="87" t="s">
        <v>45</v>
      </c>
      <c r="J9" s="103">
        <f>KPI!E16</f>
        <v>-5.455939368444903E-3</v>
      </c>
      <c r="K9" s="104"/>
      <c r="L9" s="52"/>
      <c r="M9" s="87" t="s">
        <v>45</v>
      </c>
      <c r="N9" s="146">
        <f>KPI!D17</f>
        <v>1.3375307389345004</v>
      </c>
      <c r="O9" s="147"/>
      <c r="P9" s="52"/>
      <c r="Q9" s="87" t="s">
        <v>45</v>
      </c>
      <c r="R9" s="103">
        <f>KPI!E12</f>
        <v>2.6659229556846815E-2</v>
      </c>
      <c r="S9" s="104"/>
    </row>
    <row r="10" spans="1:19" x14ac:dyDescent="0.35">
      <c r="A10" s="89" t="str">
        <f>"Vorjahr "&amp;KPI!$B$4</f>
        <v>Vorjahr 2025</v>
      </c>
      <c r="B10" s="124">
        <f>KPI!C10</f>
        <v>173212.81050568077</v>
      </c>
      <c r="C10" s="153"/>
      <c r="D10" s="52"/>
      <c r="E10" s="87" t="str">
        <f>"Vorjahr "&amp;KPI!$B$4</f>
        <v>Vorjahr 2025</v>
      </c>
      <c r="F10" s="105">
        <f>KPI!C13</f>
        <v>72042</v>
      </c>
      <c r="G10" s="106"/>
      <c r="H10" s="52"/>
      <c r="I10" s="87" t="str">
        <f>"Vorjahr "&amp;KPI!$B$4</f>
        <v>Vorjahr 2025</v>
      </c>
      <c r="J10" s="142">
        <f>KPI!C16</f>
        <v>11.938138308209098</v>
      </c>
      <c r="K10" s="143"/>
      <c r="L10" s="52"/>
      <c r="M10" s="87" t="str">
        <f>"Vorjahr "&amp;KPI!$B$4</f>
        <v>Vorjahr 2025</v>
      </c>
      <c r="N10" s="142">
        <f>KPI!C17</f>
        <v>14.342469261065501</v>
      </c>
      <c r="O10" s="143"/>
      <c r="P10" s="52"/>
      <c r="Q10" s="87" t="str">
        <f>"Vorjahr "&amp;KPI!$B$4</f>
        <v>Vorjahr 2025</v>
      </c>
      <c r="R10" s="124">
        <f>KPI!C12</f>
        <v>860047.35999999987</v>
      </c>
      <c r="S10" s="125"/>
    </row>
    <row r="11" spans="1:19" ht="18" thickBot="1" x14ac:dyDescent="0.4">
      <c r="A11" s="90"/>
      <c r="B11" s="154"/>
      <c r="C11" s="155"/>
      <c r="D11" s="52"/>
      <c r="E11" s="88"/>
      <c r="F11" s="107"/>
      <c r="G11" s="108"/>
      <c r="H11" s="52"/>
      <c r="I11" s="88"/>
      <c r="J11" s="144"/>
      <c r="K11" s="145"/>
      <c r="L11" s="52"/>
      <c r="M11" s="88"/>
      <c r="N11" s="144"/>
      <c r="O11" s="145"/>
      <c r="P11" s="52"/>
      <c r="Q11" s="88"/>
      <c r="R11" s="126"/>
      <c r="S11" s="127"/>
    </row>
    <row r="12" spans="1:19" ht="7.5" customHeight="1" x14ac:dyDescent="0.3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</row>
    <row r="13" spans="1:19" x14ac:dyDescent="0.35">
      <c r="A13" s="128" t="s">
        <v>46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</row>
    <row r="14" spans="1:19" ht="22.5" customHeight="1" x14ac:dyDescent="0.35">
      <c r="A14" s="129" t="s">
        <v>11</v>
      </c>
      <c r="B14" s="130"/>
      <c r="C14" s="130"/>
      <c r="D14" s="130"/>
      <c r="E14" s="130"/>
      <c r="F14" s="131"/>
      <c r="G14" s="132" t="s">
        <v>47</v>
      </c>
      <c r="H14" s="129" t="s">
        <v>44</v>
      </c>
      <c r="I14" s="130"/>
      <c r="J14" s="130"/>
      <c r="K14" s="130"/>
      <c r="L14" s="130"/>
      <c r="M14" s="131"/>
      <c r="N14" s="132" t="s">
        <v>48</v>
      </c>
      <c r="O14" s="129" t="s">
        <v>10</v>
      </c>
      <c r="P14" s="130"/>
      <c r="Q14" s="130"/>
      <c r="R14" s="130"/>
      <c r="S14" s="131"/>
    </row>
    <row r="15" spans="1:19" x14ac:dyDescent="0.35">
      <c r="A15" s="133">
        <f>KPI!B11</f>
        <v>1166095.4666666666</v>
      </c>
      <c r="B15" s="134"/>
      <c r="C15" s="134"/>
      <c r="D15" s="134"/>
      <c r="E15" s="134"/>
      <c r="F15" s="135"/>
      <c r="G15" s="132"/>
      <c r="H15" s="133">
        <f>KPI!B12</f>
        <v>882975.55999999994</v>
      </c>
      <c r="I15" s="134"/>
      <c r="J15" s="134"/>
      <c r="K15" s="134"/>
      <c r="L15" s="134"/>
      <c r="M15" s="135"/>
      <c r="N15" s="132"/>
      <c r="O15" s="133">
        <f>KPI!B10</f>
        <v>283119.90666666662</v>
      </c>
      <c r="P15" s="134"/>
      <c r="Q15" s="134"/>
      <c r="R15" s="134"/>
      <c r="S15" s="135"/>
    </row>
    <row r="16" spans="1:19" x14ac:dyDescent="0.35">
      <c r="A16" s="133"/>
      <c r="B16" s="134"/>
      <c r="C16" s="134"/>
      <c r="D16" s="134"/>
      <c r="E16" s="134"/>
      <c r="F16" s="135"/>
      <c r="G16" s="132"/>
      <c r="H16" s="133"/>
      <c r="I16" s="134"/>
      <c r="J16" s="134"/>
      <c r="K16" s="134"/>
      <c r="L16" s="134"/>
      <c r="M16" s="135"/>
      <c r="N16" s="132"/>
      <c r="O16" s="133"/>
      <c r="P16" s="134"/>
      <c r="Q16" s="134"/>
      <c r="R16" s="134"/>
      <c r="S16" s="135"/>
    </row>
    <row r="17" spans="1:19" x14ac:dyDescent="0.35">
      <c r="A17" s="133"/>
      <c r="B17" s="134"/>
      <c r="C17" s="134"/>
      <c r="D17" s="134"/>
      <c r="E17" s="134"/>
      <c r="F17" s="135"/>
      <c r="G17" s="132"/>
      <c r="H17" s="133"/>
      <c r="I17" s="134"/>
      <c r="J17" s="134"/>
      <c r="K17" s="134"/>
      <c r="L17" s="134"/>
      <c r="M17" s="135"/>
      <c r="N17" s="132"/>
      <c r="O17" s="133"/>
      <c r="P17" s="134"/>
      <c r="Q17" s="134"/>
      <c r="R17" s="134"/>
      <c r="S17" s="135"/>
    </row>
    <row r="18" spans="1:19" x14ac:dyDescent="0.35">
      <c r="A18" s="136" t="s">
        <v>49</v>
      </c>
      <c r="B18" s="137"/>
      <c r="C18" s="137"/>
      <c r="D18" s="137"/>
      <c r="E18" s="137"/>
      <c r="F18" s="138"/>
      <c r="G18" s="132"/>
      <c r="H18" s="136" t="s">
        <v>50</v>
      </c>
      <c r="I18" s="137"/>
      <c r="J18" s="137"/>
      <c r="K18" s="137"/>
      <c r="L18" s="137"/>
      <c r="M18" s="138"/>
      <c r="N18" s="132"/>
      <c r="O18" s="136" t="s">
        <v>51</v>
      </c>
      <c r="P18" s="137"/>
      <c r="Q18" s="137"/>
      <c r="R18" s="137"/>
      <c r="S18" s="138"/>
    </row>
    <row r="19" spans="1:19" x14ac:dyDescent="0.35">
      <c r="A19" s="139"/>
      <c r="B19" s="140"/>
      <c r="C19" s="140"/>
      <c r="D19" s="140"/>
      <c r="E19" s="140"/>
      <c r="F19" s="141"/>
      <c r="G19" s="132"/>
      <c r="H19" s="139"/>
      <c r="I19" s="140"/>
      <c r="J19" s="140"/>
      <c r="K19" s="140"/>
      <c r="L19" s="140"/>
      <c r="M19" s="141"/>
      <c r="N19" s="132"/>
      <c r="O19" s="139"/>
      <c r="P19" s="140"/>
      <c r="Q19" s="140"/>
      <c r="R19" s="140"/>
      <c r="S19" s="141"/>
    </row>
    <row r="20" spans="1:19" x14ac:dyDescent="0.3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</row>
    <row r="21" spans="1:19" x14ac:dyDescent="0.3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156" t="s">
        <v>52</v>
      </c>
      <c r="P21" s="157"/>
      <c r="Q21" s="157"/>
      <c r="R21" s="157"/>
      <c r="S21" s="158"/>
    </row>
    <row r="22" spans="1:19" x14ac:dyDescent="0.3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159" t="str">
        <f>KPI!B40</f>
        <v>Medianwirkung</v>
      </c>
      <c r="P22" s="160"/>
      <c r="Q22" s="160"/>
      <c r="R22" s="160"/>
      <c r="S22" s="161"/>
    </row>
    <row r="23" spans="1:19" x14ac:dyDescent="0.3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159"/>
      <c r="P23" s="160"/>
      <c r="Q23" s="160"/>
      <c r="R23" s="160"/>
      <c r="S23" s="161"/>
    </row>
    <row r="24" spans="1:19" x14ac:dyDescent="0.3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159"/>
      <c r="P24" s="160"/>
      <c r="Q24" s="160"/>
      <c r="R24" s="160"/>
      <c r="S24" s="161"/>
    </row>
    <row r="25" spans="1:19" x14ac:dyDescent="0.3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162">
        <f>KPI!C40</f>
        <v>99469.931836660558</v>
      </c>
      <c r="P25" s="163"/>
      <c r="Q25" s="163"/>
      <c r="R25" s="163"/>
      <c r="S25" s="164"/>
    </row>
    <row r="26" spans="1:19" x14ac:dyDescent="0.3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162"/>
      <c r="P26" s="163"/>
      <c r="Q26" s="163"/>
      <c r="R26" s="163"/>
      <c r="S26" s="164"/>
    </row>
    <row r="27" spans="1:19" x14ac:dyDescent="0.3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165" t="s">
        <v>53</v>
      </c>
      <c r="P27" s="166"/>
      <c r="Q27" s="166"/>
      <c r="R27" s="166"/>
      <c r="S27" s="167"/>
    </row>
    <row r="28" spans="1:19" x14ac:dyDescent="0.3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5"/>
      <c r="P28" s="56"/>
      <c r="Q28" s="56"/>
      <c r="R28" s="56"/>
      <c r="S28" s="57"/>
    </row>
    <row r="29" spans="1:19" x14ac:dyDescent="0.3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168" t="s">
        <v>24</v>
      </c>
      <c r="P29" s="169"/>
      <c r="Q29" s="169"/>
      <c r="R29" s="169"/>
      <c r="S29" s="170"/>
    </row>
    <row r="30" spans="1:19" ht="17.25" customHeight="1" x14ac:dyDescent="0.3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171">
        <f>KPI!B24</f>
        <v>3.806995450572602</v>
      </c>
      <c r="P30" s="172"/>
      <c r="Q30" s="172"/>
      <c r="R30" s="172"/>
      <c r="S30" s="173"/>
    </row>
    <row r="31" spans="1:19" ht="17.25" customHeight="1" x14ac:dyDescent="0.3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171"/>
      <c r="P31" s="172"/>
      <c r="Q31" s="172"/>
      <c r="R31" s="172"/>
      <c r="S31" s="173"/>
    </row>
    <row r="32" spans="1:19" x14ac:dyDescent="0.3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171"/>
      <c r="P32" s="172"/>
      <c r="Q32" s="172"/>
      <c r="R32" s="172"/>
      <c r="S32" s="173"/>
    </row>
    <row r="33" spans="1:19" x14ac:dyDescent="0.3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174"/>
      <c r="P33" s="175"/>
      <c r="Q33" s="175"/>
      <c r="R33" s="175"/>
      <c r="S33" s="176"/>
    </row>
    <row r="34" spans="1:19" x14ac:dyDescent="0.3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</row>
    <row r="35" spans="1:19" x14ac:dyDescent="0.35">
      <c r="A35" s="128" t="s">
        <v>54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</row>
    <row r="36" spans="1:19" ht="7.5" customHeight="1" x14ac:dyDescent="0.3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</row>
    <row r="37" spans="1:19" ht="22.5" customHeight="1" x14ac:dyDescent="0.35">
      <c r="A37" s="177" t="s">
        <v>14</v>
      </c>
      <c r="B37" s="178"/>
      <c r="C37" s="178"/>
      <c r="D37" s="178"/>
      <c r="E37" s="178"/>
      <c r="F37" s="179"/>
      <c r="G37" s="180" t="s">
        <v>55</v>
      </c>
      <c r="H37" s="177" t="s">
        <v>15</v>
      </c>
      <c r="I37" s="178"/>
      <c r="J37" s="178"/>
      <c r="K37" s="178"/>
      <c r="L37" s="178"/>
      <c r="M37" s="179"/>
      <c r="N37" s="180" t="s">
        <v>48</v>
      </c>
      <c r="O37" s="177" t="s">
        <v>13</v>
      </c>
      <c r="P37" s="178"/>
      <c r="Q37" s="178"/>
      <c r="R37" s="178"/>
      <c r="S37" s="179"/>
    </row>
    <row r="38" spans="1:19" x14ac:dyDescent="0.35">
      <c r="A38" s="181">
        <f>KPI!B14</f>
        <v>92171.190476190473</v>
      </c>
      <c r="B38" s="182"/>
      <c r="C38" s="182"/>
      <c r="D38" s="182"/>
      <c r="E38" s="182"/>
      <c r="F38" s="183"/>
      <c r="G38" s="180"/>
      <c r="H38" s="188">
        <f>KPI!B15</f>
        <v>0.80685009002399777</v>
      </c>
      <c r="I38" s="189"/>
      <c r="J38" s="189"/>
      <c r="K38" s="189"/>
      <c r="L38" s="189"/>
      <c r="M38" s="190"/>
      <c r="N38" s="180"/>
      <c r="O38" s="181">
        <f>KPI!B13</f>
        <v>74368.333333333328</v>
      </c>
      <c r="P38" s="182"/>
      <c r="Q38" s="182"/>
      <c r="R38" s="182"/>
      <c r="S38" s="183"/>
    </row>
    <row r="39" spans="1:19" x14ac:dyDescent="0.35">
      <c r="A39" s="181"/>
      <c r="B39" s="182"/>
      <c r="C39" s="182"/>
      <c r="D39" s="182"/>
      <c r="E39" s="182"/>
      <c r="F39" s="183"/>
      <c r="G39" s="180"/>
      <c r="H39" s="188"/>
      <c r="I39" s="189"/>
      <c r="J39" s="189"/>
      <c r="K39" s="189"/>
      <c r="L39" s="189"/>
      <c r="M39" s="190"/>
      <c r="N39" s="180"/>
      <c r="O39" s="181"/>
      <c r="P39" s="182"/>
      <c r="Q39" s="182"/>
      <c r="R39" s="182"/>
      <c r="S39" s="183"/>
    </row>
    <row r="40" spans="1:19" x14ac:dyDescent="0.35">
      <c r="A40" s="181"/>
      <c r="B40" s="182"/>
      <c r="C40" s="182"/>
      <c r="D40" s="182"/>
      <c r="E40" s="182"/>
      <c r="F40" s="183"/>
      <c r="G40" s="180"/>
      <c r="H40" s="188"/>
      <c r="I40" s="189"/>
      <c r="J40" s="189"/>
      <c r="K40" s="189"/>
      <c r="L40" s="189"/>
      <c r="M40" s="190"/>
      <c r="N40" s="180"/>
      <c r="O40" s="181"/>
      <c r="P40" s="182"/>
      <c r="Q40" s="182"/>
      <c r="R40" s="182"/>
      <c r="S40" s="183"/>
    </row>
    <row r="41" spans="1:19" x14ac:dyDescent="0.35">
      <c r="A41" s="58" t="str">
        <f>"Vorjahr "&amp;KPI!$B$4</f>
        <v>Vorjahr 2025</v>
      </c>
      <c r="B41" s="105">
        <f>KPI!C14</f>
        <v>96401</v>
      </c>
      <c r="C41" s="105"/>
      <c r="D41" s="105"/>
      <c r="E41" s="105"/>
      <c r="F41" s="184"/>
      <c r="G41" s="180"/>
      <c r="H41" s="58" t="str">
        <f>"Vorjahr "&amp;KPI!$B$4</f>
        <v>Vorjahr 2025</v>
      </c>
      <c r="I41" s="191">
        <f>KPI!C15</f>
        <v>0.74731589921266373</v>
      </c>
      <c r="J41" s="191"/>
      <c r="K41" s="191"/>
      <c r="L41" s="191"/>
      <c r="M41" s="192"/>
      <c r="N41" s="180"/>
      <c r="O41" s="58" t="str">
        <f>"Vorjahr "&amp;KPI!$B$4</f>
        <v>Vorjahr 2025</v>
      </c>
      <c r="P41" s="105">
        <f>KPI!C13</f>
        <v>72042</v>
      </c>
      <c r="Q41" s="105"/>
      <c r="R41" s="105"/>
      <c r="S41" s="184"/>
    </row>
    <row r="42" spans="1:19" x14ac:dyDescent="0.35">
      <c r="A42" s="58" t="s">
        <v>45</v>
      </c>
      <c r="B42" s="103">
        <f>KPI!E14</f>
        <v>-4.3877236997640338E-2</v>
      </c>
      <c r="C42" s="103"/>
      <c r="D42" s="103"/>
      <c r="E42" s="103"/>
      <c r="F42" s="185"/>
      <c r="G42" s="180"/>
      <c r="H42" s="58" t="s">
        <v>45</v>
      </c>
      <c r="I42" s="193">
        <f>KPI!E15</f>
        <v>5.9534190811334042</v>
      </c>
      <c r="J42" s="193"/>
      <c r="K42" s="193"/>
      <c r="L42" s="193"/>
      <c r="M42" s="194"/>
      <c r="N42" s="180"/>
      <c r="O42" s="58" t="s">
        <v>45</v>
      </c>
      <c r="P42" s="103">
        <f>KPI!E13</f>
        <v>3.2291348565188754E-2</v>
      </c>
      <c r="Q42" s="103"/>
      <c r="R42" s="103"/>
      <c r="S42" s="185"/>
    </row>
    <row r="43" spans="1:19" x14ac:dyDescent="0.35">
      <c r="A43" s="54"/>
      <c r="B43" s="186"/>
      <c r="C43" s="186"/>
      <c r="D43" s="186"/>
      <c r="E43" s="186"/>
      <c r="F43" s="187"/>
      <c r="G43" s="180"/>
      <c r="H43" s="54"/>
      <c r="I43" s="195"/>
      <c r="J43" s="195"/>
      <c r="K43" s="195"/>
      <c r="L43" s="195"/>
      <c r="M43" s="196"/>
      <c r="N43" s="180"/>
      <c r="O43" s="54"/>
      <c r="P43" s="186"/>
      <c r="Q43" s="186"/>
      <c r="R43" s="186"/>
      <c r="S43" s="187"/>
    </row>
    <row r="44" spans="1:19" x14ac:dyDescent="0.35">
      <c r="A44" s="197" t="s">
        <v>90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</row>
    <row r="45" spans="1:19" ht="7.5" customHeight="1" x14ac:dyDescent="0.3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</row>
    <row r="46" spans="1:19" x14ac:dyDescent="0.35">
      <c r="A46" s="128" t="s">
        <v>56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</row>
    <row r="47" spans="1:19" ht="7.5" customHeight="1" x14ac:dyDescent="0.3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</row>
    <row r="48" spans="1:19" ht="22.5" customHeight="1" x14ac:dyDescent="0.35">
      <c r="A48" s="198" t="s">
        <v>18</v>
      </c>
      <c r="B48" s="199"/>
      <c r="C48" s="199"/>
      <c r="D48" s="200"/>
      <c r="E48" s="206" t="s">
        <v>57</v>
      </c>
      <c r="F48" s="198" t="s">
        <v>19</v>
      </c>
      <c r="G48" s="199"/>
      <c r="H48" s="199"/>
      <c r="I48" s="200"/>
      <c r="J48" s="206" t="s">
        <v>57</v>
      </c>
      <c r="K48" s="198" t="s">
        <v>20</v>
      </c>
      <c r="L48" s="199"/>
      <c r="M48" s="199"/>
      <c r="N48" s="200"/>
      <c r="O48" s="206" t="s">
        <v>48</v>
      </c>
      <c r="P48" s="198" t="s">
        <v>44</v>
      </c>
      <c r="Q48" s="199"/>
      <c r="R48" s="199"/>
      <c r="S48" s="200"/>
    </row>
    <row r="49" spans="1:19" x14ac:dyDescent="0.35">
      <c r="A49" s="201">
        <f>KPI!B18</f>
        <v>847782.55999999994</v>
      </c>
      <c r="B49" s="202"/>
      <c r="C49" s="202"/>
      <c r="D49" s="203"/>
      <c r="E49" s="206"/>
      <c r="F49" s="201">
        <f>KPI!B19</f>
        <v>35193</v>
      </c>
      <c r="G49" s="202"/>
      <c r="H49" s="202"/>
      <c r="I49" s="203"/>
      <c r="J49" s="206"/>
      <c r="K49" s="201">
        <f>KPI!B20</f>
        <v>0</v>
      </c>
      <c r="L49" s="202"/>
      <c r="M49" s="202"/>
      <c r="N49" s="203"/>
      <c r="O49" s="206"/>
      <c r="P49" s="201">
        <f>KPI!B12</f>
        <v>882975.55999999994</v>
      </c>
      <c r="Q49" s="202"/>
      <c r="R49" s="202"/>
      <c r="S49" s="203"/>
    </row>
    <row r="50" spans="1:19" x14ac:dyDescent="0.35">
      <c r="A50" s="201"/>
      <c r="B50" s="202"/>
      <c r="C50" s="202"/>
      <c r="D50" s="203"/>
      <c r="E50" s="206"/>
      <c r="F50" s="201"/>
      <c r="G50" s="202"/>
      <c r="H50" s="202"/>
      <c r="I50" s="203"/>
      <c r="J50" s="206"/>
      <c r="K50" s="201"/>
      <c r="L50" s="202"/>
      <c r="M50" s="202"/>
      <c r="N50" s="203"/>
      <c r="O50" s="206"/>
      <c r="P50" s="201"/>
      <c r="Q50" s="202"/>
      <c r="R50" s="202"/>
      <c r="S50" s="203"/>
    </row>
    <row r="51" spans="1:19" x14ac:dyDescent="0.35">
      <c r="A51" s="201"/>
      <c r="B51" s="202"/>
      <c r="C51" s="202"/>
      <c r="D51" s="203"/>
      <c r="E51" s="206"/>
      <c r="F51" s="201"/>
      <c r="G51" s="202"/>
      <c r="H51" s="202"/>
      <c r="I51" s="203"/>
      <c r="J51" s="206"/>
      <c r="K51" s="201"/>
      <c r="L51" s="202"/>
      <c r="M51" s="202"/>
      <c r="N51" s="203"/>
      <c r="O51" s="206"/>
      <c r="P51" s="201"/>
      <c r="Q51" s="202"/>
      <c r="R51" s="202"/>
      <c r="S51" s="203"/>
    </row>
    <row r="52" spans="1:19" x14ac:dyDescent="0.35">
      <c r="A52" s="53" t="str">
        <f>"Vorjahr "&amp;KPI!$B$4</f>
        <v>Vorjahr 2025</v>
      </c>
      <c r="B52" s="204">
        <f>KPI!C18</f>
        <v>810814.35999999987</v>
      </c>
      <c r="C52" s="204"/>
      <c r="D52" s="205"/>
      <c r="E52" s="206"/>
      <c r="F52" s="53" t="str">
        <f>"Vorjahr "&amp;KPI!$B$4</f>
        <v>Vorjahr 2025</v>
      </c>
      <c r="G52" s="204">
        <f>KPI!C19</f>
        <v>49233</v>
      </c>
      <c r="H52" s="204"/>
      <c r="I52" s="205"/>
      <c r="J52" s="206"/>
      <c r="K52" s="53" t="str">
        <f>"Vorjahr "&amp;KPI!$B$4</f>
        <v>Vorjahr 2025</v>
      </c>
      <c r="L52" s="204">
        <f>KPI!C20</f>
        <v>0</v>
      </c>
      <c r="M52" s="204"/>
      <c r="N52" s="205"/>
      <c r="O52" s="206"/>
      <c r="P52" s="53" t="str">
        <f>"Vorjahr "&amp;KPI!$B$4</f>
        <v>Vorjahr 2025</v>
      </c>
      <c r="Q52" s="204">
        <f>KPI!C12</f>
        <v>860047.35999999987</v>
      </c>
      <c r="R52" s="204"/>
      <c r="S52" s="205"/>
    </row>
    <row r="53" spans="1:19" x14ac:dyDescent="0.35">
      <c r="A53" s="53" t="s">
        <v>45</v>
      </c>
      <c r="B53" s="103">
        <f>KPI!E18</f>
        <v>4.5593913753574959E-2</v>
      </c>
      <c r="C53" s="103"/>
      <c r="D53" s="185"/>
      <c r="E53" s="206"/>
      <c r="F53" s="53" t="s">
        <v>45</v>
      </c>
      <c r="G53" s="103">
        <f>KPI!E19</f>
        <v>-0.28517457802693313</v>
      </c>
      <c r="H53" s="103"/>
      <c r="I53" s="185"/>
      <c r="J53" s="206"/>
      <c r="K53" s="53" t="s">
        <v>45</v>
      </c>
      <c r="L53" s="103" t="str">
        <f>KPI!E20</f>
        <v/>
      </c>
      <c r="M53" s="103"/>
      <c r="N53" s="185"/>
      <c r="O53" s="206"/>
      <c r="P53" s="53" t="s">
        <v>45</v>
      </c>
      <c r="Q53" s="103">
        <f>KPI!E12</f>
        <v>2.6659229556846815E-2</v>
      </c>
      <c r="R53" s="103"/>
      <c r="S53" s="185"/>
    </row>
    <row r="54" spans="1:19" x14ac:dyDescent="0.35">
      <c r="A54" s="54"/>
      <c r="B54" s="186"/>
      <c r="C54" s="186"/>
      <c r="D54" s="187"/>
      <c r="E54" s="206"/>
      <c r="F54" s="54"/>
      <c r="G54" s="186"/>
      <c r="H54" s="186"/>
      <c r="I54" s="187"/>
      <c r="J54" s="206"/>
      <c r="K54" s="54"/>
      <c r="L54" s="186"/>
      <c r="M54" s="186"/>
      <c r="N54" s="187"/>
      <c r="O54" s="206"/>
      <c r="P54" s="54"/>
      <c r="Q54" s="186"/>
      <c r="R54" s="186"/>
      <c r="S54" s="187"/>
    </row>
    <row r="55" spans="1:19" ht="7.5" customHeight="1" x14ac:dyDescent="0.3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</row>
    <row r="56" spans="1:19" x14ac:dyDescent="0.35">
      <c r="A56" s="128" t="s">
        <v>58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</row>
    <row r="57" spans="1:19" ht="22.5" customHeight="1" x14ac:dyDescent="0.35">
      <c r="A57" s="207" t="s">
        <v>59</v>
      </c>
      <c r="B57" s="208"/>
      <c r="C57" s="208"/>
      <c r="D57" s="209"/>
      <c r="E57" s="52"/>
      <c r="F57" s="207" t="s">
        <v>60</v>
      </c>
      <c r="G57" s="208"/>
      <c r="H57" s="208"/>
      <c r="I57" s="209"/>
      <c r="J57" s="52"/>
      <c r="K57" s="207" t="s">
        <v>61</v>
      </c>
      <c r="L57" s="208"/>
      <c r="M57" s="208"/>
      <c r="N57" s="209"/>
      <c r="O57" s="52"/>
      <c r="P57" s="207" t="s">
        <v>62</v>
      </c>
      <c r="Q57" s="208"/>
      <c r="R57" s="208"/>
      <c r="S57" s="209"/>
    </row>
    <row r="58" spans="1:19" x14ac:dyDescent="0.35">
      <c r="A58" s="210">
        <f>KPI!B60</f>
        <v>283119.90666666662</v>
      </c>
      <c r="B58" s="211"/>
      <c r="C58" s="211"/>
      <c r="D58" s="212"/>
      <c r="E58" s="52"/>
      <c r="F58" s="216">
        <f>KPI!B61</f>
        <v>2</v>
      </c>
      <c r="G58" s="217"/>
      <c r="H58" s="217"/>
      <c r="I58" s="218"/>
      <c r="J58" s="52"/>
      <c r="K58" s="216">
        <f>KPI!B62</f>
        <v>3</v>
      </c>
      <c r="L58" s="217"/>
      <c r="M58" s="217"/>
      <c r="N58" s="218"/>
      <c r="O58" s="52"/>
      <c r="P58" s="216">
        <f>KPI!B63</f>
        <v>5</v>
      </c>
      <c r="Q58" s="217"/>
      <c r="R58" s="217"/>
      <c r="S58" s="218"/>
    </row>
    <row r="59" spans="1:19" x14ac:dyDescent="0.35">
      <c r="A59" s="210"/>
      <c r="B59" s="211"/>
      <c r="C59" s="211"/>
      <c r="D59" s="212"/>
      <c r="E59" s="52"/>
      <c r="F59" s="216"/>
      <c r="G59" s="217"/>
      <c r="H59" s="217"/>
      <c r="I59" s="218"/>
      <c r="J59" s="52"/>
      <c r="K59" s="216"/>
      <c r="L59" s="217"/>
      <c r="M59" s="217"/>
      <c r="N59" s="218"/>
      <c r="O59" s="52"/>
      <c r="P59" s="216"/>
      <c r="Q59" s="217"/>
      <c r="R59" s="217"/>
      <c r="S59" s="218"/>
    </row>
    <row r="60" spans="1:19" x14ac:dyDescent="0.35">
      <c r="A60" s="213"/>
      <c r="B60" s="214"/>
      <c r="C60" s="214"/>
      <c r="D60" s="215"/>
      <c r="E60" s="52"/>
      <c r="F60" s="219"/>
      <c r="G60" s="220"/>
      <c r="H60" s="220"/>
      <c r="I60" s="221"/>
      <c r="J60" s="52"/>
      <c r="K60" s="219"/>
      <c r="L60" s="220"/>
      <c r="M60" s="220"/>
      <c r="N60" s="221"/>
      <c r="O60" s="52"/>
      <c r="P60" s="219"/>
      <c r="Q60" s="220"/>
      <c r="R60" s="220"/>
      <c r="S60" s="221"/>
    </row>
    <row r="61" spans="1:19" ht="7.5" customHeight="1" x14ac:dyDescent="0.3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</row>
    <row r="62" spans="1:19" x14ac:dyDescent="0.3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228" t="s">
        <v>1</v>
      </c>
      <c r="O62" s="228"/>
      <c r="P62" s="228"/>
      <c r="Q62" s="228"/>
      <c r="R62" s="229" t="s">
        <v>63</v>
      </c>
      <c r="S62" s="229"/>
    </row>
    <row r="63" spans="1:19" x14ac:dyDescent="0.3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223" t="str">
        <f>IF(KPI!J45="","",KPI!J45)</f>
        <v>WoTa "Am Wassertor"</v>
      </c>
      <c r="O63" s="224"/>
      <c r="P63" s="224"/>
      <c r="Q63" s="225"/>
      <c r="R63" s="226">
        <f>IF(KPI!K45="","",KPI!K45)</f>
        <v>-10179.630000000005</v>
      </c>
      <c r="S63" s="227"/>
    </row>
    <row r="64" spans="1:19" x14ac:dyDescent="0.3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23" t="str">
        <f>IF(KPI!J46="","",KPI!J46)</f>
        <v>Medizinische Betreuung Obdachloser</v>
      </c>
      <c r="O64" s="224"/>
      <c r="P64" s="224"/>
      <c r="Q64" s="225"/>
      <c r="R64" s="226">
        <f>IF(KPI!K46="","",KPI!K46)</f>
        <v>-5569.84</v>
      </c>
      <c r="S64" s="227"/>
    </row>
    <row r="65" spans="1:19" x14ac:dyDescent="0.3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223" t="str">
        <f>IF(KPI!J47="","",KPI!J47)</f>
        <v/>
      </c>
      <c r="O65" s="224"/>
      <c r="P65" s="224"/>
      <c r="Q65" s="225"/>
      <c r="R65" s="226" t="str">
        <f>IF(KPI!K47="","",KPI!K47)</f>
        <v/>
      </c>
      <c r="S65" s="227"/>
    </row>
    <row r="66" spans="1:19" x14ac:dyDescent="0.3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223" t="str">
        <f>IF(KPI!J48="","",KPI!J48)</f>
        <v/>
      </c>
      <c r="O66" s="224"/>
      <c r="P66" s="224"/>
      <c r="Q66" s="225"/>
      <c r="R66" s="226" t="str">
        <f>IF(KPI!K48="","",KPI!K48)</f>
        <v/>
      </c>
      <c r="S66" s="227"/>
    </row>
    <row r="67" spans="1:19" x14ac:dyDescent="0.3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223" t="str">
        <f>IF(KPI!J49="","",KPI!J49)</f>
        <v/>
      </c>
      <c r="O67" s="224"/>
      <c r="P67" s="224"/>
      <c r="Q67" s="225"/>
      <c r="R67" s="226" t="str">
        <f>IF(KPI!K49="","",KPI!K49)</f>
        <v/>
      </c>
      <c r="S67" s="227"/>
    </row>
    <row r="68" spans="1:19" x14ac:dyDescent="0.3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223" t="str">
        <f>IF(KPI!J50="","",KPI!J50)</f>
        <v/>
      </c>
      <c r="O68" s="224"/>
      <c r="P68" s="224"/>
      <c r="Q68" s="225"/>
      <c r="R68" s="226" t="str">
        <f>IF(KPI!K50="","",KPI!K50)</f>
        <v/>
      </c>
      <c r="S68" s="227"/>
    </row>
    <row r="69" spans="1:19" x14ac:dyDescent="0.3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</row>
    <row r="70" spans="1:19" x14ac:dyDescent="0.3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230" t="s">
        <v>64</v>
      </c>
      <c r="O70" s="231"/>
      <c r="P70" s="231"/>
      <c r="Q70" s="231"/>
      <c r="R70" s="231"/>
      <c r="S70" s="232"/>
    </row>
    <row r="71" spans="1:19" x14ac:dyDescent="0.3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233"/>
      <c r="O71" s="234"/>
      <c r="P71" s="234"/>
      <c r="Q71" s="234"/>
      <c r="R71" s="234"/>
      <c r="S71" s="235"/>
    </row>
    <row r="72" spans="1:19" x14ac:dyDescent="0.3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233"/>
      <c r="O72" s="234"/>
      <c r="P72" s="234"/>
      <c r="Q72" s="234"/>
      <c r="R72" s="234"/>
      <c r="S72" s="235"/>
    </row>
    <row r="73" spans="1:19" x14ac:dyDescent="0.3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233"/>
      <c r="O73" s="234"/>
      <c r="P73" s="234"/>
      <c r="Q73" s="234"/>
      <c r="R73" s="234"/>
      <c r="S73" s="235"/>
    </row>
    <row r="74" spans="1:19" x14ac:dyDescent="0.3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236"/>
      <c r="O74" s="237"/>
      <c r="P74" s="237"/>
      <c r="Q74" s="237"/>
      <c r="R74" s="237"/>
      <c r="S74" s="238"/>
    </row>
    <row r="75" spans="1:19" x14ac:dyDescent="0.3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</row>
    <row r="76" spans="1:19" ht="20.100000000000001" customHeight="1" x14ac:dyDescent="0.35">
      <c r="A76" s="222" t="s">
        <v>91</v>
      </c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</row>
    <row r="77" spans="1:19" ht="20.100000000000001" customHeight="1" x14ac:dyDescent="0.35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</row>
    <row r="78" spans="1:19" ht="20.100000000000001" customHeight="1" x14ac:dyDescent="0.35">
      <c r="A78" s="222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</row>
  </sheetData>
  <mergeCells count="103">
    <mergeCell ref="A76:S78"/>
    <mergeCell ref="N65:Q65"/>
    <mergeCell ref="R65:S65"/>
    <mergeCell ref="N66:Q66"/>
    <mergeCell ref="R66:S66"/>
    <mergeCell ref="N67:Q67"/>
    <mergeCell ref="R67:S67"/>
    <mergeCell ref="N62:Q62"/>
    <mergeCell ref="R62:S62"/>
    <mergeCell ref="N63:Q63"/>
    <mergeCell ref="R63:S63"/>
    <mergeCell ref="N64:Q64"/>
    <mergeCell ref="R64:S64"/>
    <mergeCell ref="N68:Q68"/>
    <mergeCell ref="R68:S68"/>
    <mergeCell ref="N70:S74"/>
    <mergeCell ref="A56:S56"/>
    <mergeCell ref="A57:D57"/>
    <mergeCell ref="A58:D60"/>
    <mergeCell ref="F57:I57"/>
    <mergeCell ref="F58:I60"/>
    <mergeCell ref="K57:N57"/>
    <mergeCell ref="K58:N60"/>
    <mergeCell ref="P57:S57"/>
    <mergeCell ref="P58:S60"/>
    <mergeCell ref="A44:S44"/>
    <mergeCell ref="A46:S46"/>
    <mergeCell ref="A48:D48"/>
    <mergeCell ref="A49:D51"/>
    <mergeCell ref="B52:D52"/>
    <mergeCell ref="J48:J54"/>
    <mergeCell ref="K48:N48"/>
    <mergeCell ref="K49:N51"/>
    <mergeCell ref="L52:N52"/>
    <mergeCell ref="L53:N54"/>
    <mergeCell ref="O48:O54"/>
    <mergeCell ref="P48:S48"/>
    <mergeCell ref="P49:S51"/>
    <mergeCell ref="Q52:S52"/>
    <mergeCell ref="Q53:S54"/>
    <mergeCell ref="B53:D54"/>
    <mergeCell ref="E48:E54"/>
    <mergeCell ref="F48:I48"/>
    <mergeCell ref="F49:I51"/>
    <mergeCell ref="G52:I52"/>
    <mergeCell ref="G53:I54"/>
    <mergeCell ref="O21:S21"/>
    <mergeCell ref="O22:S24"/>
    <mergeCell ref="O25:S26"/>
    <mergeCell ref="O27:S27"/>
    <mergeCell ref="O29:S29"/>
    <mergeCell ref="A35:S35"/>
    <mergeCell ref="O30:S33"/>
    <mergeCell ref="A37:F37"/>
    <mergeCell ref="N37:N43"/>
    <mergeCell ref="O37:S37"/>
    <mergeCell ref="O38:S40"/>
    <mergeCell ref="P41:S41"/>
    <mergeCell ref="P42:S43"/>
    <mergeCell ref="A38:F40"/>
    <mergeCell ref="B41:F41"/>
    <mergeCell ref="B42:F43"/>
    <mergeCell ref="G37:G43"/>
    <mergeCell ref="H37:M37"/>
    <mergeCell ref="H38:M40"/>
    <mergeCell ref="I41:M41"/>
    <mergeCell ref="I42:M43"/>
    <mergeCell ref="A13:S13"/>
    <mergeCell ref="A14:F14"/>
    <mergeCell ref="N14:N19"/>
    <mergeCell ref="O14:S14"/>
    <mergeCell ref="O15:S17"/>
    <mergeCell ref="O18:S19"/>
    <mergeCell ref="I7:K8"/>
    <mergeCell ref="J9:K9"/>
    <mergeCell ref="J10:K11"/>
    <mergeCell ref="A15:F17"/>
    <mergeCell ref="A18:F19"/>
    <mergeCell ref="G14:G19"/>
    <mergeCell ref="H14:M14"/>
    <mergeCell ref="H15:M17"/>
    <mergeCell ref="H18:M19"/>
    <mergeCell ref="N9:O9"/>
    <mergeCell ref="N10:O11"/>
    <mergeCell ref="A7:C8"/>
    <mergeCell ref="B9:C9"/>
    <mergeCell ref="B10:C11"/>
    <mergeCell ref="E6:G6"/>
    <mergeCell ref="E7:G8"/>
    <mergeCell ref="F9:G9"/>
    <mergeCell ref="F10:G11"/>
    <mergeCell ref="A1:S1"/>
    <mergeCell ref="A2:S2"/>
    <mergeCell ref="G4:S4"/>
    <mergeCell ref="A6:C6"/>
    <mergeCell ref="I6:K6"/>
    <mergeCell ref="Q6:S6"/>
    <mergeCell ref="M6:O6"/>
    <mergeCell ref="M7:O8"/>
    <mergeCell ref="Q7:S8"/>
    <mergeCell ref="C4:D4"/>
    <mergeCell ref="R9:S9"/>
    <mergeCell ref="R10:S11"/>
  </mergeCells>
  <conditionalFormatting sqref="A7:C8">
    <cfRule type="cellIs" dxfId="1" priority="1" operator="lessThan">
      <formula>0</formula>
    </cfRule>
    <cfRule type="cellIs" dxfId="0" priority="2" operator="greaterThanOrEqual">
      <formula>0</formula>
    </cfRule>
  </conditionalFormatting>
  <dataValidations count="2">
    <dataValidation type="list" sqref="B4" xr:uid="{00000000-0002-0000-0100-000000000000}">
      <formula1>Datenschnitt_Jahr</formula1>
    </dataValidation>
    <dataValidation type="list" sqref="E4" xr:uid="{00000000-0002-0000-0100-000001000000}">
      <formula1>Datenschnitt_Projekt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4"/>
  <sheetViews>
    <sheetView showGridLines="0" topLeftCell="A40" workbookViewId="0">
      <selection activeCell="A63" sqref="A63:R63"/>
    </sheetView>
  </sheetViews>
  <sheetFormatPr baseColWidth="10" defaultColWidth="9.140625" defaultRowHeight="17.25" x14ac:dyDescent="0.35"/>
  <cols>
    <col min="1" max="1" width="13.140625" style="84" bestFit="1" customWidth="1"/>
    <col min="2" max="18" width="9.42578125" style="84" customWidth="1"/>
    <col min="19" max="16384" width="9.140625" style="84"/>
  </cols>
  <sheetData>
    <row r="1" spans="1:18" ht="33.950000000000003" customHeight="1" x14ac:dyDescent="0.35">
      <c r="A1" s="244" t="s">
        <v>113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</row>
    <row r="2" spans="1:18" ht="24" customHeight="1" x14ac:dyDescent="0.35">
      <c r="A2" s="245" t="s">
        <v>114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</row>
    <row r="3" spans="1:18" ht="7.5" customHeight="1" x14ac:dyDescent="0.3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</row>
    <row r="4" spans="1:18" ht="26.1" customHeight="1" x14ac:dyDescent="0.35">
      <c r="A4" s="86" t="s">
        <v>115</v>
      </c>
      <c r="B4" s="246" t="s">
        <v>68</v>
      </c>
      <c r="C4" s="247"/>
      <c r="D4" s="247"/>
      <c r="E4" s="247"/>
      <c r="F4" s="248"/>
      <c r="G4" s="85"/>
      <c r="H4" s="249" t="s">
        <v>116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</row>
    <row r="5" spans="1:18" ht="7.5" customHeight="1" x14ac:dyDescent="0.3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</row>
    <row r="6" spans="1:18" ht="24" customHeight="1" x14ac:dyDescent="0.35">
      <c r="A6" s="250" t="s">
        <v>117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</row>
    <row r="7" spans="1:18" ht="20.100000000000001" customHeight="1" x14ac:dyDescent="0.3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</row>
    <row r="8" spans="1:18" ht="20.100000000000001" customHeight="1" x14ac:dyDescent="0.3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</row>
    <row r="9" spans="1:18" ht="20.100000000000001" customHeight="1" x14ac:dyDescent="0.3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</row>
    <row r="10" spans="1:18" ht="20.100000000000001" customHeight="1" x14ac:dyDescent="0.35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</row>
    <row r="11" spans="1:18" ht="20.100000000000001" customHeight="1" x14ac:dyDescent="0.35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8" ht="20.100000000000001" customHeight="1" x14ac:dyDescent="0.35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18" ht="20.100000000000001" customHeight="1" x14ac:dyDescent="0.35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</row>
    <row r="14" spans="1:18" ht="20.100000000000001" customHeight="1" x14ac:dyDescent="0.35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</row>
    <row r="15" spans="1:18" ht="20.100000000000001" customHeight="1" x14ac:dyDescent="0.3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8" ht="20.100000000000001" customHeight="1" x14ac:dyDescent="0.35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1:18" ht="20.100000000000001" customHeight="1" x14ac:dyDescent="0.35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</row>
    <row r="18" spans="1:18" ht="20.100000000000001" customHeight="1" x14ac:dyDescent="0.35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</row>
    <row r="19" spans="1:18" ht="20.100000000000001" customHeight="1" x14ac:dyDescent="0.35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</row>
    <row r="20" spans="1:18" ht="20.100000000000001" customHeight="1" x14ac:dyDescent="0.35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</row>
    <row r="21" spans="1:18" ht="20.100000000000001" customHeight="1" x14ac:dyDescent="0.35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</row>
    <row r="22" spans="1:18" ht="20.100000000000001" customHeight="1" x14ac:dyDescent="0.35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</row>
    <row r="23" spans="1:18" ht="20.100000000000001" customHeight="1" x14ac:dyDescent="0.3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</row>
    <row r="24" spans="1:18" ht="7.5" customHeight="1" x14ac:dyDescent="0.3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</row>
    <row r="25" spans="1:18" ht="24" customHeight="1" x14ac:dyDescent="0.35">
      <c r="A25" s="239" t="s">
        <v>118</v>
      </c>
      <c r="B25" s="239"/>
      <c r="C25" s="239"/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</row>
    <row r="26" spans="1:18" ht="20.100000000000001" customHeight="1" x14ac:dyDescent="0.3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</row>
    <row r="27" spans="1:18" ht="20.100000000000001" customHeight="1" x14ac:dyDescent="0.35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1:18" ht="20.100000000000001" customHeight="1" x14ac:dyDescent="0.35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</row>
    <row r="29" spans="1:18" ht="20.100000000000001" customHeight="1" x14ac:dyDescent="0.3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1:18" ht="20.100000000000001" customHeight="1" x14ac:dyDescent="0.35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</row>
    <row r="31" spans="1:18" ht="20.100000000000001" customHeight="1" x14ac:dyDescent="0.35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  <row r="32" spans="1:18" ht="20.100000000000001" customHeight="1" x14ac:dyDescent="0.35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</row>
    <row r="33" spans="1:18" ht="20.100000000000001" customHeight="1" x14ac:dyDescent="0.35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</row>
    <row r="34" spans="1:18" ht="20.100000000000001" customHeight="1" x14ac:dyDescent="0.35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</row>
    <row r="35" spans="1:18" ht="20.100000000000001" customHeight="1" x14ac:dyDescent="0.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</row>
    <row r="36" spans="1:18" ht="20.100000000000001" customHeight="1" x14ac:dyDescent="0.35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</row>
    <row r="37" spans="1:18" ht="20.100000000000001" customHeight="1" x14ac:dyDescent="0.35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</row>
    <row r="38" spans="1:18" ht="20.100000000000001" customHeight="1" x14ac:dyDescent="0.35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</row>
    <row r="39" spans="1:18" ht="20.100000000000001" customHeight="1" x14ac:dyDescent="0.3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1:18" ht="20.100000000000001" customHeight="1" x14ac:dyDescent="0.35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</row>
    <row r="41" spans="1:18" ht="20.100000000000001" customHeight="1" x14ac:dyDescent="0.35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</row>
    <row r="42" spans="1:18" ht="20.100000000000001" customHeight="1" x14ac:dyDescent="0.35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</row>
    <row r="43" spans="1:18" ht="7.5" customHeight="1" x14ac:dyDescent="0.3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</row>
    <row r="44" spans="1:18" ht="24" customHeight="1" x14ac:dyDescent="0.35">
      <c r="A44" s="240" t="s">
        <v>119</v>
      </c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</row>
    <row r="45" spans="1:18" ht="20.100000000000001" customHeight="1" x14ac:dyDescent="0.3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</row>
    <row r="46" spans="1:18" ht="20.100000000000001" customHeight="1" x14ac:dyDescent="0.35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</row>
    <row r="47" spans="1:18" ht="20.100000000000001" customHeight="1" x14ac:dyDescent="0.35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</row>
    <row r="48" spans="1:18" ht="20.100000000000001" customHeight="1" x14ac:dyDescent="0.35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 ht="20.100000000000001" customHeight="1" x14ac:dyDescent="0.35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</row>
    <row r="50" spans="1:18" ht="20.100000000000001" customHeight="1" x14ac:dyDescent="0.35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ht="20.100000000000001" customHeight="1" x14ac:dyDescent="0.3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</row>
    <row r="52" spans="1:18" ht="20.100000000000001" customHeight="1" x14ac:dyDescent="0.35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</row>
    <row r="53" spans="1:18" ht="20.100000000000001" customHeight="1" x14ac:dyDescent="0.3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</row>
    <row r="54" spans="1:18" ht="20.100000000000001" customHeight="1" x14ac:dyDescent="0.35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</row>
    <row r="55" spans="1:18" ht="20.100000000000001" customHeight="1" x14ac:dyDescent="0.3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</row>
    <row r="56" spans="1:18" ht="20.100000000000001" customHeight="1" x14ac:dyDescent="0.3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</row>
    <row r="57" spans="1:18" ht="20.100000000000001" customHeight="1" x14ac:dyDescent="0.35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</row>
    <row r="58" spans="1:18" ht="20.100000000000001" customHeight="1" x14ac:dyDescent="0.3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</row>
    <row r="59" spans="1:18" ht="20.100000000000001" customHeight="1" x14ac:dyDescent="0.35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</row>
    <row r="60" spans="1:18" ht="20.100000000000001" customHeight="1" x14ac:dyDescent="0.35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</row>
    <row r="61" spans="1:18" ht="20.100000000000001" customHeight="1" x14ac:dyDescent="0.3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</row>
    <row r="62" spans="1:18" ht="20.100000000000001" customHeight="1" x14ac:dyDescent="0.3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</row>
    <row r="63" spans="1:18" ht="24" customHeight="1" x14ac:dyDescent="0.35">
      <c r="A63" s="241" t="s">
        <v>120</v>
      </c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</row>
    <row r="64" spans="1:18" ht="20.100000000000001" customHeight="1" x14ac:dyDescent="0.3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</row>
    <row r="65" spans="1:18" ht="20.100000000000001" customHeight="1" x14ac:dyDescent="0.3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</row>
    <row r="66" spans="1:18" ht="20.100000000000001" customHeight="1" x14ac:dyDescent="0.3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</row>
    <row r="67" spans="1:18" ht="20.100000000000001" customHeight="1" x14ac:dyDescent="0.3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</row>
    <row r="68" spans="1:18" ht="20.100000000000001" customHeight="1" x14ac:dyDescent="0.3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</row>
    <row r="69" spans="1:18" ht="20.100000000000001" customHeight="1" x14ac:dyDescent="0.35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</row>
    <row r="70" spans="1:18" ht="20.100000000000001" customHeight="1" x14ac:dyDescent="0.35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</row>
    <row r="71" spans="1:18" ht="20.100000000000001" customHeight="1" x14ac:dyDescent="0.35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</row>
    <row r="72" spans="1:18" ht="20.100000000000001" customHeight="1" x14ac:dyDescent="0.35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</row>
    <row r="73" spans="1:18" ht="20.100000000000001" customHeight="1" x14ac:dyDescent="0.35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</row>
    <row r="74" spans="1:18" ht="20.100000000000001" customHeight="1" x14ac:dyDescent="0.3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</row>
    <row r="75" spans="1:18" ht="20.100000000000001" customHeight="1" x14ac:dyDescent="0.3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</row>
    <row r="76" spans="1:18" ht="20.100000000000001" customHeight="1" x14ac:dyDescent="0.3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</row>
    <row r="77" spans="1:18" ht="20.100000000000001" customHeight="1" x14ac:dyDescent="0.3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</row>
    <row r="78" spans="1:18" ht="20.100000000000001" customHeight="1" x14ac:dyDescent="0.3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</row>
    <row r="79" spans="1:18" ht="20.100000000000001" customHeight="1" x14ac:dyDescent="0.3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</row>
    <row r="80" spans="1:18" ht="20.100000000000001" customHeight="1" x14ac:dyDescent="0.3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</row>
    <row r="81" spans="1:18" ht="20.100000000000001" customHeight="1" x14ac:dyDescent="0.3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</row>
    <row r="82" spans="1:18" ht="20.100000000000001" customHeight="1" x14ac:dyDescent="0.35">
      <c r="A82" s="242" t="s">
        <v>121</v>
      </c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</row>
    <row r="83" spans="1:18" ht="20.100000000000001" customHeight="1" x14ac:dyDescent="0.35">
      <c r="A83" s="243"/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</row>
    <row r="84" spans="1:18" ht="20.100000000000001" customHeight="1" x14ac:dyDescent="0.35">
      <c r="A84" s="243"/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</row>
  </sheetData>
  <mergeCells count="9">
    <mergeCell ref="A25:R25"/>
    <mergeCell ref="A44:R44"/>
    <mergeCell ref="A63:R63"/>
    <mergeCell ref="A82:R84"/>
    <mergeCell ref="A1:R1"/>
    <mergeCell ref="A2:R2"/>
    <mergeCell ref="B4:F4"/>
    <mergeCell ref="H4:R4"/>
    <mergeCell ref="A6:R6"/>
  </mergeCells>
  <dataValidations count="1">
    <dataValidation type="list" sqref="B4" xr:uid="{00000000-0002-0000-0300-000000000000}">
      <formula1>Datenschnitt_Projekt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5"/>
  <sheetViews>
    <sheetView topLeftCell="I30" workbookViewId="0">
      <selection activeCell="V43" sqref="V43:V47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46" customWidth="1"/>
    <col min="4" max="16" width="16" customWidth="1"/>
    <col min="17" max="17" width="15.85546875" bestFit="1" customWidth="1"/>
    <col min="18" max="24" width="16" customWidth="1"/>
    <col min="25" max="25" width="18" customWidth="1"/>
  </cols>
  <sheetData>
    <row r="1" spans="1:25" ht="44.1" customHeight="1" x14ac:dyDescent="0.25">
      <c r="A1" s="2" t="s">
        <v>41</v>
      </c>
      <c r="B1" s="2" t="s">
        <v>92</v>
      </c>
      <c r="C1" s="2" t="s">
        <v>1</v>
      </c>
      <c r="D1" s="2" t="s">
        <v>18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22</v>
      </c>
      <c r="J1" s="2" t="s">
        <v>23</v>
      </c>
      <c r="K1" s="2" t="s">
        <v>19</v>
      </c>
      <c r="L1" s="2" t="s">
        <v>20</v>
      </c>
      <c r="M1" s="2" t="s">
        <v>12</v>
      </c>
      <c r="N1" s="2" t="s">
        <v>25</v>
      </c>
      <c r="O1" s="2" t="s">
        <v>14</v>
      </c>
      <c r="P1" s="2" t="s">
        <v>27</v>
      </c>
      <c r="Q1" s="2" t="s">
        <v>26</v>
      </c>
      <c r="R1" s="2" t="s">
        <v>13</v>
      </c>
      <c r="S1" s="2" t="s">
        <v>97</v>
      </c>
      <c r="T1" s="2" t="s">
        <v>16</v>
      </c>
      <c r="U1" s="2" t="s">
        <v>17</v>
      </c>
      <c r="V1" s="2" t="s">
        <v>10</v>
      </c>
      <c r="W1" s="2" t="s">
        <v>15</v>
      </c>
      <c r="X1" s="2" t="s">
        <v>11</v>
      </c>
      <c r="Y1" s="2" t="s">
        <v>3</v>
      </c>
    </row>
    <row r="2" spans="1:25" ht="18.95" customHeight="1" x14ac:dyDescent="0.25">
      <c r="A2" s="9">
        <v>2021</v>
      </c>
      <c r="B2" s="8" t="s">
        <v>98</v>
      </c>
      <c r="C2" s="8" t="s">
        <v>69</v>
      </c>
      <c r="D2" s="4">
        <v>20000</v>
      </c>
      <c r="E2" s="4">
        <v>236402.87</v>
      </c>
      <c r="F2" s="4">
        <v>13606</v>
      </c>
      <c r="G2" s="4">
        <v>0</v>
      </c>
      <c r="H2" s="4">
        <v>270008.87</v>
      </c>
      <c r="I2" s="5">
        <f t="shared" ref="I2:I33" si="0">IFERROR(D2/H2,"")</f>
        <v>7.4071640683507911E-2</v>
      </c>
      <c r="J2" s="5">
        <f t="shared" ref="J2:J33" si="1">IFERROR((E2+F2)/H2,"")</f>
        <v>0.92592835931649209</v>
      </c>
      <c r="K2" s="4">
        <v>610.68054338010802</v>
      </c>
      <c r="L2" s="4">
        <v>0</v>
      </c>
      <c r="M2" s="4">
        <f t="shared" ref="M2:M33" si="2">D2+K2+L2</f>
        <v>20610.680543380109</v>
      </c>
      <c r="N2" s="6"/>
      <c r="O2" s="6">
        <f t="shared" ref="O2:O35" si="3">IFERROR(R2/I2,"")</f>
        <v>37558.233817</v>
      </c>
      <c r="P2" s="6"/>
      <c r="Q2" s="6">
        <f t="shared" ref="Q2:Q42" si="4">IF(P2&gt;0,R2*P2/12,R2)</f>
        <v>2782</v>
      </c>
      <c r="R2" s="6">
        <v>2782</v>
      </c>
      <c r="S2" s="6">
        <f t="shared" ref="S2:S33" si="5">IFERROR(M2/U2,"")</f>
        <v>1512.2643345704798</v>
      </c>
      <c r="T2" s="7">
        <f t="shared" ref="T2:T33" si="6">IFERROR(M2/R2,"")</f>
        <v>7.4085839480158553</v>
      </c>
      <c r="U2" s="7">
        <v>13.629019789872943</v>
      </c>
      <c r="V2" s="4">
        <f t="shared" ref="V2:V33" si="7">IFERROR(X2-M2,"")</f>
        <v>17305.252512046416</v>
      </c>
      <c r="W2" s="5">
        <f t="shared" ref="W2:W33" si="8">IFERROR(R2/O2,"")</f>
        <v>7.4071640683507911E-2</v>
      </c>
      <c r="X2" s="4">
        <f t="shared" ref="X2:X33" si="9">IFERROR(R2*U2,"")</f>
        <v>37915.933055426525</v>
      </c>
      <c r="Y2" s="3" t="str">
        <f t="shared" ref="Y2:Y47" si="10">IF(A2=MAX($A$2:$A$47),"Hochrechnung","Jahresabschluss")</f>
        <v>Jahresabschluss</v>
      </c>
    </row>
    <row r="3" spans="1:25" ht="18.95" customHeight="1" x14ac:dyDescent="0.25">
      <c r="A3" s="9">
        <v>2021</v>
      </c>
      <c r="B3" s="8" t="s">
        <v>99</v>
      </c>
      <c r="C3" s="8" t="s">
        <v>70</v>
      </c>
      <c r="D3" s="4">
        <v>12556</v>
      </c>
      <c r="E3" s="4">
        <v>0</v>
      </c>
      <c r="F3" s="4">
        <v>0</v>
      </c>
      <c r="G3" s="4">
        <v>0</v>
      </c>
      <c r="H3" s="4">
        <v>12556</v>
      </c>
      <c r="I3" s="5">
        <f t="shared" si="0"/>
        <v>1</v>
      </c>
      <c r="J3" s="5">
        <f t="shared" si="1"/>
        <v>0</v>
      </c>
      <c r="K3" s="4">
        <v>383.38524513403183</v>
      </c>
      <c r="L3" s="4">
        <v>0</v>
      </c>
      <c r="M3" s="4">
        <f t="shared" si="2"/>
        <v>12939.385245134032</v>
      </c>
      <c r="N3" s="6"/>
      <c r="O3" s="6">
        <f t="shared" si="3"/>
        <v>838</v>
      </c>
      <c r="P3" s="6"/>
      <c r="Q3" s="6">
        <f t="shared" si="4"/>
        <v>838</v>
      </c>
      <c r="R3" s="6">
        <v>838</v>
      </c>
      <c r="S3" s="6">
        <f t="shared" si="5"/>
        <v>949.39954924334722</v>
      </c>
      <c r="T3" s="7">
        <f t="shared" si="6"/>
        <v>15.44079384860863</v>
      </c>
      <c r="U3" s="7">
        <v>13.629019789872943</v>
      </c>
      <c r="V3" s="4">
        <f t="shared" si="7"/>
        <v>-1518.2666612205048</v>
      </c>
      <c r="W3" s="5">
        <f t="shared" si="8"/>
        <v>1</v>
      </c>
      <c r="X3" s="4">
        <f t="shared" si="9"/>
        <v>11421.118583913527</v>
      </c>
      <c r="Y3" s="3" t="str">
        <f t="shared" si="10"/>
        <v>Jahresabschluss</v>
      </c>
    </row>
    <row r="4" spans="1:25" ht="18.95" customHeight="1" x14ac:dyDescent="0.25">
      <c r="A4" s="9">
        <v>2021</v>
      </c>
      <c r="B4" s="8" t="s">
        <v>100</v>
      </c>
      <c r="C4" s="8" t="s">
        <v>71</v>
      </c>
      <c r="D4" s="4">
        <v>200250</v>
      </c>
      <c r="E4" s="4">
        <v>10000</v>
      </c>
      <c r="F4" s="4">
        <v>3000</v>
      </c>
      <c r="G4" s="4">
        <v>0</v>
      </c>
      <c r="H4" s="4">
        <v>213250</v>
      </c>
      <c r="I4" s="5">
        <f t="shared" si="0"/>
        <v>0.93903868698710435</v>
      </c>
      <c r="J4" s="5">
        <f t="shared" si="1"/>
        <v>6.096131301289566E-2</v>
      </c>
      <c r="K4" s="4">
        <v>6114.4389405933325</v>
      </c>
      <c r="L4" s="4">
        <v>0</v>
      </c>
      <c r="M4" s="4">
        <f t="shared" si="2"/>
        <v>206364.43894059333</v>
      </c>
      <c r="N4" s="6"/>
      <c r="O4" s="6">
        <f t="shared" si="3"/>
        <v>16619.123595505618</v>
      </c>
      <c r="P4" s="6"/>
      <c r="Q4" s="6">
        <f t="shared" si="4"/>
        <v>15606</v>
      </c>
      <c r="R4" s="6">
        <v>15606</v>
      </c>
      <c r="S4" s="6">
        <f t="shared" si="5"/>
        <v>15141.54664988693</v>
      </c>
      <c r="T4" s="7">
        <f t="shared" si="6"/>
        <v>13.223403751159383</v>
      </c>
      <c r="U4" s="7">
        <v>13.629019789872943</v>
      </c>
      <c r="V4" s="4">
        <f t="shared" si="7"/>
        <v>6330.0439001638151</v>
      </c>
      <c r="W4" s="5">
        <f t="shared" si="8"/>
        <v>0.93903868698710435</v>
      </c>
      <c r="X4" s="4">
        <f t="shared" si="9"/>
        <v>212694.48284075715</v>
      </c>
      <c r="Y4" s="3" t="str">
        <f t="shared" si="10"/>
        <v>Jahresabschluss</v>
      </c>
    </row>
    <row r="5" spans="1:25" ht="18.95" customHeight="1" x14ac:dyDescent="0.25">
      <c r="A5" s="9">
        <v>2021</v>
      </c>
      <c r="B5" s="8" t="s">
        <v>100</v>
      </c>
      <c r="C5" s="8" t="s">
        <v>72</v>
      </c>
      <c r="D5" s="4">
        <v>18238.330000000002</v>
      </c>
      <c r="E5" s="4">
        <v>346528.22</v>
      </c>
      <c r="F5" s="4">
        <v>0</v>
      </c>
      <c r="G5" s="4">
        <v>0</v>
      </c>
      <c r="H5" s="4">
        <v>364766.55</v>
      </c>
      <c r="I5" s="5">
        <f t="shared" si="0"/>
        <v>5.0000006853698625E-2</v>
      </c>
      <c r="J5" s="5">
        <f t="shared" si="1"/>
        <v>0.94999999314630135</v>
      </c>
      <c r="K5" s="4">
        <v>556.88966373728636</v>
      </c>
      <c r="L5" s="4">
        <v>0</v>
      </c>
      <c r="M5" s="4">
        <f t="shared" si="2"/>
        <v>18795.219663737287</v>
      </c>
      <c r="N5" s="6"/>
      <c r="O5" s="6">
        <f t="shared" si="3"/>
        <v>719.99990130675337</v>
      </c>
      <c r="P5" s="6"/>
      <c r="Q5" s="6">
        <f t="shared" si="4"/>
        <v>36</v>
      </c>
      <c r="R5" s="6">
        <v>36</v>
      </c>
      <c r="S5" s="6">
        <f t="shared" si="5"/>
        <v>1379.0587990563411</v>
      </c>
      <c r="T5" s="7">
        <f t="shared" si="6"/>
        <v>522.08943510381357</v>
      </c>
      <c r="U5" s="7">
        <v>13.629019789872943</v>
      </c>
      <c r="V5" s="4">
        <f t="shared" si="7"/>
        <v>-18304.57495130186</v>
      </c>
      <c r="W5" s="5">
        <f t="shared" si="8"/>
        <v>5.0000006853698625E-2</v>
      </c>
      <c r="X5" s="4">
        <f t="shared" si="9"/>
        <v>490.64471243542596</v>
      </c>
      <c r="Y5" s="3" t="str">
        <f t="shared" si="10"/>
        <v>Jahresabschluss</v>
      </c>
    </row>
    <row r="6" spans="1:25" ht="18.95" customHeight="1" x14ac:dyDescent="0.25">
      <c r="A6" s="9">
        <v>2021</v>
      </c>
      <c r="B6" s="8" t="s">
        <v>101</v>
      </c>
      <c r="C6" s="8" t="s">
        <v>73</v>
      </c>
      <c r="D6" s="4">
        <v>200250</v>
      </c>
      <c r="E6" s="4">
        <v>0</v>
      </c>
      <c r="F6" s="4">
        <v>0</v>
      </c>
      <c r="G6" s="4">
        <v>0</v>
      </c>
      <c r="H6" s="4">
        <v>200250</v>
      </c>
      <c r="I6" s="5">
        <f t="shared" si="0"/>
        <v>1</v>
      </c>
      <c r="J6" s="5">
        <f t="shared" si="1"/>
        <v>0</v>
      </c>
      <c r="K6" s="4">
        <v>6114.4389405933325</v>
      </c>
      <c r="L6" s="4">
        <v>0</v>
      </c>
      <c r="M6" s="4">
        <f t="shared" si="2"/>
        <v>206364.43894059333</v>
      </c>
      <c r="N6" s="6"/>
      <c r="O6" s="6">
        <f t="shared" si="3"/>
        <v>15449</v>
      </c>
      <c r="P6" s="6"/>
      <c r="Q6" s="6">
        <f t="shared" si="4"/>
        <v>15449</v>
      </c>
      <c r="R6" s="6">
        <v>15449</v>
      </c>
      <c r="S6" s="6">
        <f t="shared" si="5"/>
        <v>15141.54664988693</v>
      </c>
      <c r="T6" s="7">
        <f t="shared" si="6"/>
        <v>13.357786195908689</v>
      </c>
      <c r="U6" s="7">
        <v>13.629019789872943</v>
      </c>
      <c r="V6" s="4">
        <f t="shared" si="7"/>
        <v>4190.2877931537805</v>
      </c>
      <c r="W6" s="5">
        <f t="shared" si="8"/>
        <v>1</v>
      </c>
      <c r="X6" s="4">
        <f t="shared" si="9"/>
        <v>210554.72673374711</v>
      </c>
      <c r="Y6" s="3" t="str">
        <f t="shared" si="10"/>
        <v>Jahresabschluss</v>
      </c>
    </row>
    <row r="7" spans="1:25" ht="18.95" customHeight="1" x14ac:dyDescent="0.25">
      <c r="A7" s="9">
        <v>2021</v>
      </c>
      <c r="B7" s="8" t="s">
        <v>102</v>
      </c>
      <c r="C7" s="8" t="s">
        <v>74</v>
      </c>
      <c r="D7" s="4">
        <v>184072</v>
      </c>
      <c r="E7" s="4">
        <v>0</v>
      </c>
      <c r="F7" s="4">
        <v>0</v>
      </c>
      <c r="G7" s="4">
        <v>0</v>
      </c>
      <c r="H7" s="4">
        <v>184072</v>
      </c>
      <c r="I7" s="5">
        <f t="shared" si="0"/>
        <v>1</v>
      </c>
      <c r="J7" s="5">
        <f t="shared" si="1"/>
        <v>0</v>
      </c>
      <c r="K7" s="4">
        <v>5620.4594490531626</v>
      </c>
      <c r="L7" s="4">
        <v>0</v>
      </c>
      <c r="M7" s="4">
        <f t="shared" si="2"/>
        <v>189692.45944905316</v>
      </c>
      <c r="N7" s="6"/>
      <c r="O7" s="6">
        <f t="shared" si="3"/>
        <v>14169</v>
      </c>
      <c r="P7" s="6"/>
      <c r="Q7" s="6">
        <f t="shared" si="4"/>
        <v>14169</v>
      </c>
      <c r="R7" s="6">
        <v>14169</v>
      </c>
      <c r="S7" s="6">
        <f t="shared" si="5"/>
        <v>13918.276029652869</v>
      </c>
      <c r="T7" s="7">
        <f t="shared" si="6"/>
        <v>13.387850903313796</v>
      </c>
      <c r="U7" s="7">
        <v>13.629019789872943</v>
      </c>
      <c r="V7" s="4">
        <f t="shared" si="7"/>
        <v>3417.1219536565768</v>
      </c>
      <c r="W7" s="5">
        <f t="shared" si="8"/>
        <v>1</v>
      </c>
      <c r="X7" s="4">
        <f t="shared" si="9"/>
        <v>193109.58140270974</v>
      </c>
      <c r="Y7" s="3" t="str">
        <f t="shared" si="10"/>
        <v>Jahresabschluss</v>
      </c>
    </row>
    <row r="8" spans="1:25" ht="18.95" customHeight="1" x14ac:dyDescent="0.25">
      <c r="A8" s="9">
        <v>2021</v>
      </c>
      <c r="B8" s="8" t="s">
        <v>103</v>
      </c>
      <c r="C8" s="8" t="s">
        <v>75</v>
      </c>
      <c r="D8" s="4">
        <v>20000</v>
      </c>
      <c r="E8" s="4">
        <v>0</v>
      </c>
      <c r="F8" s="4">
        <v>0</v>
      </c>
      <c r="G8" s="4">
        <v>0</v>
      </c>
      <c r="H8" s="4">
        <v>20000</v>
      </c>
      <c r="I8" s="5">
        <f t="shared" si="0"/>
        <v>1</v>
      </c>
      <c r="J8" s="5">
        <f t="shared" si="1"/>
        <v>0</v>
      </c>
      <c r="K8" s="4">
        <v>610.68054338010802</v>
      </c>
      <c r="L8" s="4">
        <v>0</v>
      </c>
      <c r="M8" s="4">
        <f t="shared" si="2"/>
        <v>20610.680543380109</v>
      </c>
      <c r="N8" s="6"/>
      <c r="O8" s="6">
        <f t="shared" si="3"/>
        <v>307</v>
      </c>
      <c r="P8" s="6"/>
      <c r="Q8" s="6">
        <f t="shared" si="4"/>
        <v>307</v>
      </c>
      <c r="R8" s="6">
        <v>307</v>
      </c>
      <c r="S8" s="6">
        <f t="shared" si="5"/>
        <v>1512.2643345704798</v>
      </c>
      <c r="T8" s="7">
        <f t="shared" si="6"/>
        <v>67.13576724228048</v>
      </c>
      <c r="U8" s="7">
        <v>13.629019789872943</v>
      </c>
      <c r="V8" s="4">
        <f t="shared" si="7"/>
        <v>-16426.571467889116</v>
      </c>
      <c r="W8" s="5">
        <f t="shared" si="8"/>
        <v>1</v>
      </c>
      <c r="X8" s="4">
        <f t="shared" si="9"/>
        <v>4184.1090754909937</v>
      </c>
      <c r="Y8" s="3" t="str">
        <f t="shared" si="10"/>
        <v>Jahresabschluss</v>
      </c>
    </row>
    <row r="9" spans="1:25" ht="18.95" customHeight="1" x14ac:dyDescent="0.25">
      <c r="A9" s="9">
        <v>2021</v>
      </c>
      <c r="B9" s="8" t="s">
        <v>104</v>
      </c>
      <c r="C9" s="8" t="s">
        <v>76</v>
      </c>
      <c r="D9" s="4">
        <v>900</v>
      </c>
      <c r="E9" s="4">
        <v>0</v>
      </c>
      <c r="F9" s="4">
        <v>0</v>
      </c>
      <c r="G9" s="4">
        <v>0</v>
      </c>
      <c r="H9" s="4">
        <v>900</v>
      </c>
      <c r="I9" s="5">
        <f t="shared" si="0"/>
        <v>1</v>
      </c>
      <c r="J9" s="5">
        <f t="shared" si="1"/>
        <v>0</v>
      </c>
      <c r="K9" s="4">
        <v>27.480624452104866</v>
      </c>
      <c r="L9" s="4">
        <v>0</v>
      </c>
      <c r="M9" s="4">
        <f t="shared" si="2"/>
        <v>927.48062445210485</v>
      </c>
      <c r="N9" s="6"/>
      <c r="O9" s="6">
        <f t="shared" si="3"/>
        <v>45</v>
      </c>
      <c r="P9" s="6"/>
      <c r="Q9" s="6">
        <f t="shared" si="4"/>
        <v>45</v>
      </c>
      <c r="R9" s="6">
        <v>45</v>
      </c>
      <c r="S9" s="6">
        <f t="shared" si="5"/>
        <v>68.051895055671594</v>
      </c>
      <c r="T9" s="7">
        <f t="shared" si="6"/>
        <v>20.610680543380109</v>
      </c>
      <c r="U9" s="7">
        <v>13.629019789872943</v>
      </c>
      <c r="V9" s="4">
        <f t="shared" si="7"/>
        <v>-314.17473390782243</v>
      </c>
      <c r="W9" s="5">
        <f t="shared" si="8"/>
        <v>1</v>
      </c>
      <c r="X9" s="4">
        <f t="shared" si="9"/>
        <v>613.30589054428242</v>
      </c>
      <c r="Y9" s="3" t="str">
        <f t="shared" si="10"/>
        <v>Jahresabschluss</v>
      </c>
    </row>
    <row r="10" spans="1:25" ht="18.95" customHeight="1" x14ac:dyDescent="0.25">
      <c r="A10" s="9">
        <v>2021</v>
      </c>
      <c r="B10" s="8" t="s">
        <v>72</v>
      </c>
      <c r="C10" s="8" t="s">
        <v>77</v>
      </c>
      <c r="D10" s="4">
        <v>1500</v>
      </c>
      <c r="E10" s="4">
        <v>0</v>
      </c>
      <c r="F10" s="4">
        <v>0</v>
      </c>
      <c r="G10" s="4">
        <v>0</v>
      </c>
      <c r="H10" s="4">
        <v>1500</v>
      </c>
      <c r="I10" s="5">
        <f t="shared" si="0"/>
        <v>1</v>
      </c>
      <c r="J10" s="5">
        <f t="shared" si="1"/>
        <v>0</v>
      </c>
      <c r="K10" s="4">
        <v>45.801040753508104</v>
      </c>
      <c r="L10" s="4">
        <v>0</v>
      </c>
      <c r="M10" s="4">
        <f t="shared" si="2"/>
        <v>1545.801040753508</v>
      </c>
      <c r="N10" s="6"/>
      <c r="O10" s="6">
        <f t="shared" si="3"/>
        <v>127</v>
      </c>
      <c r="P10" s="6"/>
      <c r="Q10" s="6">
        <f t="shared" si="4"/>
        <v>127</v>
      </c>
      <c r="R10" s="6">
        <v>127</v>
      </c>
      <c r="S10" s="6">
        <f t="shared" si="5"/>
        <v>113.41982509278598</v>
      </c>
      <c r="T10" s="7">
        <f t="shared" si="6"/>
        <v>12.171661738216599</v>
      </c>
      <c r="U10" s="7">
        <v>13.629019789872943</v>
      </c>
      <c r="V10" s="4">
        <f t="shared" si="7"/>
        <v>185.08447256035583</v>
      </c>
      <c r="W10" s="5">
        <f t="shared" si="8"/>
        <v>1</v>
      </c>
      <c r="X10" s="4">
        <f t="shared" si="9"/>
        <v>1730.8855133138638</v>
      </c>
      <c r="Y10" s="3" t="str">
        <f t="shared" si="10"/>
        <v>Jahresabschluss</v>
      </c>
    </row>
    <row r="11" spans="1:25" ht="18.95" customHeight="1" x14ac:dyDescent="0.25">
      <c r="A11" s="9">
        <v>2021</v>
      </c>
      <c r="B11" s="8" t="s">
        <v>80</v>
      </c>
      <c r="C11" s="8" t="s">
        <v>78</v>
      </c>
      <c r="D11" s="4">
        <v>6726</v>
      </c>
      <c r="E11" s="4">
        <v>0</v>
      </c>
      <c r="F11" s="4">
        <v>0</v>
      </c>
      <c r="G11" s="4">
        <v>0</v>
      </c>
      <c r="H11" s="4">
        <v>6726</v>
      </c>
      <c r="I11" s="5">
        <f t="shared" si="0"/>
        <v>1</v>
      </c>
      <c r="J11" s="5">
        <f t="shared" si="1"/>
        <v>0</v>
      </c>
      <c r="K11" s="4">
        <v>205.37186673873035</v>
      </c>
      <c r="L11" s="4">
        <v>0</v>
      </c>
      <c r="M11" s="4">
        <f t="shared" si="2"/>
        <v>6931.3718667387302</v>
      </c>
      <c r="N11" s="6"/>
      <c r="O11" s="6">
        <f t="shared" si="3"/>
        <v>159</v>
      </c>
      <c r="P11" s="6"/>
      <c r="Q11" s="6">
        <f t="shared" si="4"/>
        <v>159</v>
      </c>
      <c r="R11" s="6">
        <v>159</v>
      </c>
      <c r="S11" s="6">
        <f t="shared" si="5"/>
        <v>508.57449571605235</v>
      </c>
      <c r="T11" s="7">
        <f t="shared" si="6"/>
        <v>43.593533753073778</v>
      </c>
      <c r="U11" s="7">
        <v>13.629019789872943</v>
      </c>
      <c r="V11" s="4">
        <f t="shared" si="7"/>
        <v>-4764.3577201489315</v>
      </c>
      <c r="W11" s="5">
        <f t="shared" si="8"/>
        <v>1</v>
      </c>
      <c r="X11" s="4">
        <f t="shared" si="9"/>
        <v>2167.0141465897982</v>
      </c>
      <c r="Y11" s="3" t="str">
        <f t="shared" si="10"/>
        <v>Jahresabschluss</v>
      </c>
    </row>
    <row r="12" spans="1:25" ht="18.95" customHeight="1" x14ac:dyDescent="0.25">
      <c r="A12" s="9">
        <v>2022</v>
      </c>
      <c r="B12" s="8" t="s">
        <v>98</v>
      </c>
      <c r="C12" s="8" t="s">
        <v>69</v>
      </c>
      <c r="D12" s="4">
        <v>20000</v>
      </c>
      <c r="E12" s="4">
        <v>234785</v>
      </c>
      <c r="F12" s="4">
        <v>13606</v>
      </c>
      <c r="G12" s="4">
        <v>0</v>
      </c>
      <c r="H12" s="4">
        <v>268391</v>
      </c>
      <c r="I12" s="5">
        <f t="shared" si="0"/>
        <v>7.451814703175591E-2</v>
      </c>
      <c r="J12" s="5">
        <f t="shared" si="1"/>
        <v>0.92548185296824415</v>
      </c>
      <c r="K12" s="4">
        <v>1131.9019420303816</v>
      </c>
      <c r="L12" s="4">
        <v>0</v>
      </c>
      <c r="M12" s="4">
        <f t="shared" si="2"/>
        <v>21131.901942030381</v>
      </c>
      <c r="N12" s="6"/>
      <c r="O12" s="6">
        <f t="shared" si="3"/>
        <v>48538.512349999997</v>
      </c>
      <c r="P12" s="6"/>
      <c r="Q12" s="6">
        <f t="shared" si="4"/>
        <v>3617</v>
      </c>
      <c r="R12" s="6">
        <v>3617</v>
      </c>
      <c r="S12" s="6">
        <f t="shared" si="5"/>
        <v>1557.9682179860686</v>
      </c>
      <c r="T12" s="7">
        <f t="shared" si="6"/>
        <v>5.842383727406796</v>
      </c>
      <c r="U12" s="7">
        <v>13.5637567558001</v>
      </c>
      <c r="V12" s="4">
        <f t="shared" si="7"/>
        <v>27928.20624369858</v>
      </c>
      <c r="W12" s="5">
        <f t="shared" si="8"/>
        <v>7.451814703175591E-2</v>
      </c>
      <c r="X12" s="4">
        <f t="shared" si="9"/>
        <v>49060.108185728961</v>
      </c>
      <c r="Y12" s="3" t="str">
        <f t="shared" si="10"/>
        <v>Jahresabschluss</v>
      </c>
    </row>
    <row r="13" spans="1:25" ht="18.95" customHeight="1" x14ac:dyDescent="0.25">
      <c r="A13" s="9">
        <v>2022</v>
      </c>
      <c r="B13" s="8" t="s">
        <v>99</v>
      </c>
      <c r="C13" s="8" t="s">
        <v>70</v>
      </c>
      <c r="D13" s="4">
        <v>7446</v>
      </c>
      <c r="E13" s="4">
        <v>0</v>
      </c>
      <c r="F13" s="4">
        <v>0</v>
      </c>
      <c r="G13" s="4">
        <v>0</v>
      </c>
      <c r="H13" s="4">
        <v>7446</v>
      </c>
      <c r="I13" s="5">
        <f t="shared" si="0"/>
        <v>1</v>
      </c>
      <c r="J13" s="5">
        <f t="shared" si="1"/>
        <v>0</v>
      </c>
      <c r="K13" s="4">
        <v>421.40709301791105</v>
      </c>
      <c r="L13" s="4">
        <v>0</v>
      </c>
      <c r="M13" s="4">
        <f t="shared" si="2"/>
        <v>7867.4070930179114</v>
      </c>
      <c r="N13" s="6"/>
      <c r="O13" s="6">
        <f t="shared" si="3"/>
        <v>1078</v>
      </c>
      <c r="P13" s="6"/>
      <c r="Q13" s="6">
        <f t="shared" si="4"/>
        <v>1078</v>
      </c>
      <c r="R13" s="6">
        <v>1078</v>
      </c>
      <c r="S13" s="6">
        <f t="shared" si="5"/>
        <v>580.03156755621342</v>
      </c>
      <c r="T13" s="7">
        <f t="shared" si="6"/>
        <v>7.2981512922244072</v>
      </c>
      <c r="U13" s="7">
        <v>13.5637567558001</v>
      </c>
      <c r="V13" s="4">
        <f t="shared" si="7"/>
        <v>6754.3226897345958</v>
      </c>
      <c r="W13" s="5">
        <f t="shared" si="8"/>
        <v>1</v>
      </c>
      <c r="X13" s="4">
        <f t="shared" si="9"/>
        <v>14621.729782752507</v>
      </c>
      <c r="Y13" s="3" t="str">
        <f t="shared" si="10"/>
        <v>Jahresabschluss</v>
      </c>
    </row>
    <row r="14" spans="1:25" ht="18.95" customHeight="1" x14ac:dyDescent="0.25">
      <c r="A14" s="9">
        <v>2022</v>
      </c>
      <c r="B14" s="8" t="s">
        <v>100</v>
      </c>
      <c r="C14" s="8" t="s">
        <v>71</v>
      </c>
      <c r="D14" s="4">
        <v>224011.09000000003</v>
      </c>
      <c r="E14" s="4">
        <v>0</v>
      </c>
      <c r="F14" s="4">
        <v>4000</v>
      </c>
      <c r="G14" s="4">
        <v>0</v>
      </c>
      <c r="H14" s="4">
        <v>228011.09000000003</v>
      </c>
      <c r="I14" s="5">
        <f t="shared" si="0"/>
        <v>0.98245699364886152</v>
      </c>
      <c r="J14" s="5">
        <f t="shared" si="1"/>
        <v>1.7543006351138445E-2</v>
      </c>
      <c r="K14" s="4">
        <v>12677.929390367131</v>
      </c>
      <c r="L14" s="4">
        <v>0</v>
      </c>
      <c r="M14" s="4">
        <f t="shared" si="2"/>
        <v>236689.01939036715</v>
      </c>
      <c r="N14" s="6"/>
      <c r="O14" s="6">
        <f t="shared" si="3"/>
        <v>12859.595973842188</v>
      </c>
      <c r="P14" s="6"/>
      <c r="Q14" s="6">
        <f t="shared" si="4"/>
        <v>12634</v>
      </c>
      <c r="R14" s="6">
        <v>12634</v>
      </c>
      <c r="S14" s="6">
        <f t="shared" si="5"/>
        <v>17450.107934820844</v>
      </c>
      <c r="T14" s="7">
        <f t="shared" si="6"/>
        <v>18.734289962827859</v>
      </c>
      <c r="U14" s="7">
        <v>13.5637567558001</v>
      </c>
      <c r="V14" s="4">
        <f t="shared" si="7"/>
        <v>-65324.516537588701</v>
      </c>
      <c r="W14" s="5">
        <f t="shared" si="8"/>
        <v>0.98245699364886152</v>
      </c>
      <c r="X14" s="4">
        <f t="shared" si="9"/>
        <v>171364.50285277845</v>
      </c>
      <c r="Y14" s="3" t="str">
        <f t="shared" si="10"/>
        <v>Jahresabschluss</v>
      </c>
    </row>
    <row r="15" spans="1:25" ht="18.95" customHeight="1" x14ac:dyDescent="0.25">
      <c r="A15" s="9">
        <v>2022</v>
      </c>
      <c r="B15" s="8" t="s">
        <v>105</v>
      </c>
      <c r="C15" s="8" t="s">
        <v>79</v>
      </c>
      <c r="D15" s="4">
        <v>1317.29</v>
      </c>
      <c r="E15" s="4">
        <v>0</v>
      </c>
      <c r="F15" s="4">
        <v>0</v>
      </c>
      <c r="G15" s="4">
        <v>0</v>
      </c>
      <c r="H15" s="4">
        <v>1317.29</v>
      </c>
      <c r="I15" s="5">
        <f t="shared" si="0"/>
        <v>1</v>
      </c>
      <c r="J15" s="5">
        <f t="shared" si="1"/>
        <v>0</v>
      </c>
      <c r="K15" s="4">
        <v>74.552155460860064</v>
      </c>
      <c r="L15" s="4">
        <v>0</v>
      </c>
      <c r="M15" s="4">
        <f t="shared" si="2"/>
        <v>1391.8421554608601</v>
      </c>
      <c r="N15" s="6"/>
      <c r="O15" s="6">
        <f t="shared" si="3"/>
        <v>392</v>
      </c>
      <c r="P15" s="6"/>
      <c r="Q15" s="6">
        <f t="shared" si="4"/>
        <v>392</v>
      </c>
      <c r="R15" s="6">
        <v>392</v>
      </c>
      <c r="S15" s="6">
        <f t="shared" si="5"/>
        <v>102.61479769354342</v>
      </c>
      <c r="T15" s="7">
        <f t="shared" si="6"/>
        <v>3.5506177435226025</v>
      </c>
      <c r="U15" s="7">
        <v>13.5637567558001</v>
      </c>
      <c r="V15" s="4">
        <f t="shared" si="7"/>
        <v>3925.1504928127788</v>
      </c>
      <c r="W15" s="5">
        <f t="shared" si="8"/>
        <v>1</v>
      </c>
      <c r="X15" s="4">
        <f t="shared" si="9"/>
        <v>5316.9926482736391</v>
      </c>
      <c r="Y15" s="3" t="str">
        <f t="shared" si="10"/>
        <v>Jahresabschluss</v>
      </c>
    </row>
    <row r="16" spans="1:25" ht="18.95" customHeight="1" x14ac:dyDescent="0.25">
      <c r="A16" s="9">
        <v>2022</v>
      </c>
      <c r="B16" s="8" t="s">
        <v>100</v>
      </c>
      <c r="C16" s="8" t="s">
        <v>72</v>
      </c>
      <c r="D16" s="4">
        <v>14240</v>
      </c>
      <c r="E16" s="4">
        <v>165579</v>
      </c>
      <c r="F16" s="4">
        <v>0</v>
      </c>
      <c r="G16" s="4">
        <v>0</v>
      </c>
      <c r="H16" s="4">
        <v>179819</v>
      </c>
      <c r="I16" s="5">
        <f t="shared" si="0"/>
        <v>7.9190741801478157E-2</v>
      </c>
      <c r="J16" s="5">
        <f t="shared" si="1"/>
        <v>0.92080925819852188</v>
      </c>
      <c r="K16" s="4">
        <v>805.91418272563169</v>
      </c>
      <c r="L16" s="4">
        <v>0</v>
      </c>
      <c r="M16" s="4">
        <f t="shared" si="2"/>
        <v>15045.914182725632</v>
      </c>
      <c r="N16" s="6"/>
      <c r="O16" s="6">
        <f t="shared" si="3"/>
        <v>340.94894662921348</v>
      </c>
      <c r="P16" s="6"/>
      <c r="Q16" s="6">
        <f t="shared" si="4"/>
        <v>27</v>
      </c>
      <c r="R16" s="6">
        <v>27</v>
      </c>
      <c r="S16" s="6">
        <f t="shared" si="5"/>
        <v>1109.2733712060808</v>
      </c>
      <c r="T16" s="7">
        <f t="shared" si="6"/>
        <v>557.25608084169005</v>
      </c>
      <c r="U16" s="7">
        <v>13.5637567558001</v>
      </c>
      <c r="V16" s="4">
        <f t="shared" si="7"/>
        <v>-14679.692750319029</v>
      </c>
      <c r="W16" s="5">
        <f t="shared" si="8"/>
        <v>7.9190741801478157E-2</v>
      </c>
      <c r="X16" s="4">
        <f t="shared" si="9"/>
        <v>366.22143240660267</v>
      </c>
      <c r="Y16" s="3" t="str">
        <f t="shared" si="10"/>
        <v>Jahresabschluss</v>
      </c>
    </row>
    <row r="17" spans="1:25" ht="18.95" customHeight="1" x14ac:dyDescent="0.25">
      <c r="A17" s="9">
        <v>2022</v>
      </c>
      <c r="B17" s="8" t="s">
        <v>101</v>
      </c>
      <c r="C17" s="8" t="s">
        <v>73</v>
      </c>
      <c r="D17" s="4">
        <v>218277</v>
      </c>
      <c r="E17" s="4">
        <v>0</v>
      </c>
      <c r="F17" s="4">
        <v>0</v>
      </c>
      <c r="G17" s="4">
        <v>0</v>
      </c>
      <c r="H17" s="4">
        <v>218277</v>
      </c>
      <c r="I17" s="5">
        <f t="shared" si="0"/>
        <v>1</v>
      </c>
      <c r="J17" s="5">
        <f t="shared" si="1"/>
        <v>0</v>
      </c>
      <c r="K17" s="4">
        <v>12353.408010028279</v>
      </c>
      <c r="L17" s="4">
        <v>0</v>
      </c>
      <c r="M17" s="4">
        <f t="shared" si="2"/>
        <v>230630.40801002827</v>
      </c>
      <c r="N17" s="6"/>
      <c r="O17" s="6">
        <f t="shared" si="3"/>
        <v>14227</v>
      </c>
      <c r="P17" s="6"/>
      <c r="Q17" s="6">
        <f t="shared" si="4"/>
        <v>14227</v>
      </c>
      <c r="R17" s="6">
        <v>14227</v>
      </c>
      <c r="S17" s="6">
        <f t="shared" si="5"/>
        <v>17003.431435867256</v>
      </c>
      <c r="T17" s="7">
        <f t="shared" si="6"/>
        <v>16.210754762776993</v>
      </c>
      <c r="U17" s="7">
        <v>13.5637567558001</v>
      </c>
      <c r="V17" s="4">
        <f t="shared" si="7"/>
        <v>-37658.840645260265</v>
      </c>
      <c r="W17" s="5">
        <f t="shared" si="8"/>
        <v>1</v>
      </c>
      <c r="X17" s="4">
        <f t="shared" si="9"/>
        <v>192971.56736476801</v>
      </c>
      <c r="Y17" s="3" t="str">
        <f t="shared" si="10"/>
        <v>Jahresabschluss</v>
      </c>
    </row>
    <row r="18" spans="1:25" ht="18.95" customHeight="1" x14ac:dyDescent="0.25">
      <c r="A18" s="9">
        <v>2022</v>
      </c>
      <c r="B18" s="8" t="s">
        <v>102</v>
      </c>
      <c r="C18" s="8" t="s">
        <v>74</v>
      </c>
      <c r="D18" s="4">
        <v>183525</v>
      </c>
      <c r="E18" s="4">
        <v>0</v>
      </c>
      <c r="F18" s="4">
        <v>0</v>
      </c>
      <c r="G18" s="4">
        <v>0</v>
      </c>
      <c r="H18" s="4">
        <v>183525</v>
      </c>
      <c r="I18" s="5">
        <f t="shared" si="0"/>
        <v>1</v>
      </c>
      <c r="J18" s="5">
        <f t="shared" si="1"/>
        <v>0</v>
      </c>
      <c r="K18" s="4">
        <v>10386.615195556289</v>
      </c>
      <c r="L18" s="4">
        <v>0</v>
      </c>
      <c r="M18" s="4">
        <f t="shared" si="2"/>
        <v>193911.61519555628</v>
      </c>
      <c r="N18" s="6"/>
      <c r="O18" s="6">
        <f t="shared" si="3"/>
        <v>18358</v>
      </c>
      <c r="P18" s="6"/>
      <c r="Q18" s="6">
        <f t="shared" si="4"/>
        <v>18358</v>
      </c>
      <c r="R18" s="6">
        <v>18358</v>
      </c>
      <c r="S18" s="6">
        <f t="shared" si="5"/>
        <v>14296.305860294662</v>
      </c>
      <c r="T18" s="7">
        <f t="shared" si="6"/>
        <v>10.562785444795527</v>
      </c>
      <c r="U18" s="7">
        <v>13.5637567558001</v>
      </c>
      <c r="V18" s="4">
        <f t="shared" si="7"/>
        <v>55091.83132742194</v>
      </c>
      <c r="W18" s="5">
        <f t="shared" si="8"/>
        <v>1</v>
      </c>
      <c r="X18" s="4">
        <f t="shared" si="9"/>
        <v>249003.44652297822</v>
      </c>
      <c r="Y18" s="3" t="str">
        <f t="shared" si="10"/>
        <v>Jahresabschluss</v>
      </c>
    </row>
    <row r="19" spans="1:25" ht="18.95" customHeight="1" x14ac:dyDescent="0.25">
      <c r="A19" s="9">
        <v>2022</v>
      </c>
      <c r="B19" s="8" t="s">
        <v>80</v>
      </c>
      <c r="C19" s="8" t="s">
        <v>80</v>
      </c>
      <c r="D19" s="4">
        <v>6057</v>
      </c>
      <c r="E19" s="4">
        <v>0</v>
      </c>
      <c r="F19" s="4">
        <v>0</v>
      </c>
      <c r="G19" s="4">
        <v>0</v>
      </c>
      <c r="H19" s="4">
        <v>6057</v>
      </c>
      <c r="I19" s="5">
        <f t="shared" si="0"/>
        <v>1</v>
      </c>
      <c r="J19" s="5">
        <f t="shared" si="1"/>
        <v>0</v>
      </c>
      <c r="K19" s="4">
        <v>342.79650314390102</v>
      </c>
      <c r="L19" s="4">
        <v>0</v>
      </c>
      <c r="M19" s="4">
        <f t="shared" si="2"/>
        <v>6399.7965031439007</v>
      </c>
      <c r="N19" s="6"/>
      <c r="O19" s="6">
        <f t="shared" si="3"/>
        <v>160</v>
      </c>
      <c r="P19" s="6"/>
      <c r="Q19" s="6">
        <f t="shared" si="4"/>
        <v>160</v>
      </c>
      <c r="R19" s="6">
        <v>160</v>
      </c>
      <c r="S19" s="6">
        <f t="shared" si="5"/>
        <v>471.83067481708088</v>
      </c>
      <c r="T19" s="7">
        <f t="shared" si="6"/>
        <v>39.998728144649377</v>
      </c>
      <c r="U19" s="7">
        <v>13.5637567558001</v>
      </c>
      <c r="V19" s="4">
        <f t="shared" si="7"/>
        <v>-4229.5954222158853</v>
      </c>
      <c r="W19" s="5">
        <f t="shared" si="8"/>
        <v>1</v>
      </c>
      <c r="X19" s="4">
        <f t="shared" si="9"/>
        <v>2170.2010809280159</v>
      </c>
      <c r="Y19" s="3" t="str">
        <f t="shared" si="10"/>
        <v>Jahresabschluss</v>
      </c>
    </row>
    <row r="20" spans="1:25" ht="18.95" customHeight="1" x14ac:dyDescent="0.25">
      <c r="A20" s="9">
        <v>2022</v>
      </c>
      <c r="B20" s="8" t="s">
        <v>106</v>
      </c>
      <c r="C20" s="8" t="s">
        <v>81</v>
      </c>
      <c r="D20" s="4">
        <v>4500</v>
      </c>
      <c r="E20" s="4">
        <v>0</v>
      </c>
      <c r="F20" s="4">
        <v>0</v>
      </c>
      <c r="G20" s="4">
        <v>0</v>
      </c>
      <c r="H20" s="4">
        <v>4500</v>
      </c>
      <c r="I20" s="5">
        <f t="shared" si="0"/>
        <v>1</v>
      </c>
      <c r="J20" s="5">
        <f t="shared" si="1"/>
        <v>0</v>
      </c>
      <c r="K20" s="4">
        <v>254.67793695683585</v>
      </c>
      <c r="L20" s="4">
        <v>0</v>
      </c>
      <c r="M20" s="4">
        <f t="shared" si="2"/>
        <v>4754.6779369568358</v>
      </c>
      <c r="N20" s="6"/>
      <c r="O20" s="6">
        <f t="shared" si="3"/>
        <v>526</v>
      </c>
      <c r="P20" s="6"/>
      <c r="Q20" s="6">
        <f t="shared" si="4"/>
        <v>526</v>
      </c>
      <c r="R20" s="6">
        <v>526</v>
      </c>
      <c r="S20" s="6">
        <f t="shared" si="5"/>
        <v>350.54284904686546</v>
      </c>
      <c r="T20" s="7">
        <f t="shared" si="6"/>
        <v>9.0393116672183194</v>
      </c>
      <c r="U20" s="7">
        <v>13.5637567558001</v>
      </c>
      <c r="V20" s="4">
        <f t="shared" si="7"/>
        <v>2379.8581165940168</v>
      </c>
      <c r="W20" s="5">
        <f t="shared" si="8"/>
        <v>1</v>
      </c>
      <c r="X20" s="4">
        <f t="shared" si="9"/>
        <v>7134.5360535508526</v>
      </c>
      <c r="Y20" s="3" t="str">
        <f t="shared" si="10"/>
        <v>Jahresabschluss</v>
      </c>
    </row>
    <row r="21" spans="1:25" ht="18.95" customHeight="1" x14ac:dyDescent="0.25">
      <c r="A21" s="9">
        <v>2022</v>
      </c>
      <c r="B21" s="8" t="s">
        <v>107</v>
      </c>
      <c r="C21" s="8" t="s">
        <v>82</v>
      </c>
      <c r="D21" s="4">
        <v>500</v>
      </c>
      <c r="E21" s="4">
        <v>0</v>
      </c>
      <c r="F21" s="4">
        <v>0</v>
      </c>
      <c r="G21" s="4">
        <v>0</v>
      </c>
      <c r="H21" s="4">
        <v>500</v>
      </c>
      <c r="I21" s="5">
        <f t="shared" si="0"/>
        <v>1</v>
      </c>
      <c r="J21" s="5">
        <f t="shared" si="1"/>
        <v>0</v>
      </c>
      <c r="K21" s="4">
        <v>28.29754855075954</v>
      </c>
      <c r="L21" s="4">
        <v>0</v>
      </c>
      <c r="M21" s="4">
        <f t="shared" si="2"/>
        <v>528.29754855075953</v>
      </c>
      <c r="N21" s="6"/>
      <c r="O21" s="6">
        <f t="shared" si="3"/>
        <v>100</v>
      </c>
      <c r="P21" s="6"/>
      <c r="Q21" s="6">
        <f t="shared" si="4"/>
        <v>100</v>
      </c>
      <c r="R21" s="6">
        <v>100</v>
      </c>
      <c r="S21" s="6">
        <f t="shared" si="5"/>
        <v>38.949205449651714</v>
      </c>
      <c r="T21" s="7">
        <f t="shared" si="6"/>
        <v>5.2829754855075954</v>
      </c>
      <c r="U21" s="7">
        <v>13.5637567558001</v>
      </c>
      <c r="V21" s="4">
        <f t="shared" si="7"/>
        <v>828.07812702925048</v>
      </c>
      <c r="W21" s="5">
        <f t="shared" si="8"/>
        <v>1</v>
      </c>
      <c r="X21" s="4">
        <f t="shared" si="9"/>
        <v>1356.37567558001</v>
      </c>
      <c r="Y21" s="3" t="str">
        <f t="shared" si="10"/>
        <v>Jahresabschluss</v>
      </c>
    </row>
    <row r="22" spans="1:25" ht="18.95" customHeight="1" x14ac:dyDescent="0.25">
      <c r="A22" s="9">
        <v>2023</v>
      </c>
      <c r="B22" s="8" t="s">
        <v>98</v>
      </c>
      <c r="C22" s="8" t="s">
        <v>69</v>
      </c>
      <c r="D22" s="4">
        <v>20000</v>
      </c>
      <c r="E22" s="4">
        <v>268702</v>
      </c>
      <c r="F22" s="4">
        <v>13726</v>
      </c>
      <c r="G22" s="4">
        <v>0</v>
      </c>
      <c r="H22" s="4">
        <v>302428</v>
      </c>
      <c r="I22" s="5">
        <f t="shared" si="0"/>
        <v>6.6131442855820233E-2</v>
      </c>
      <c r="J22" s="5">
        <f t="shared" si="1"/>
        <v>0.93386855714417982</v>
      </c>
      <c r="K22" s="4">
        <v>522</v>
      </c>
      <c r="L22" s="4">
        <v>0</v>
      </c>
      <c r="M22" s="4">
        <f t="shared" si="2"/>
        <v>20522</v>
      </c>
      <c r="N22" s="6"/>
      <c r="O22" s="6">
        <f t="shared" si="3"/>
        <v>59003.702799999999</v>
      </c>
      <c r="P22" s="6"/>
      <c r="Q22" s="6">
        <f t="shared" si="4"/>
        <v>3902</v>
      </c>
      <c r="R22" s="6">
        <v>3902</v>
      </c>
      <c r="S22" s="6">
        <f t="shared" si="5"/>
        <v>1630.753569474052</v>
      </c>
      <c r="T22" s="7">
        <f t="shared" si="6"/>
        <v>5.2593541773449513</v>
      </c>
      <c r="U22" s="7">
        <v>12.584366138544601</v>
      </c>
      <c r="V22" s="4">
        <f t="shared" si="7"/>
        <v>28582.196672601036</v>
      </c>
      <c r="W22" s="5">
        <f t="shared" si="8"/>
        <v>6.6131442855820233E-2</v>
      </c>
      <c r="X22" s="4">
        <f t="shared" si="9"/>
        <v>49104.196672601036</v>
      </c>
      <c r="Y22" s="3" t="str">
        <f t="shared" si="10"/>
        <v>Jahresabschluss</v>
      </c>
    </row>
    <row r="23" spans="1:25" ht="18.95" customHeight="1" x14ac:dyDescent="0.25">
      <c r="A23" s="9">
        <v>2023</v>
      </c>
      <c r="B23" s="8" t="s">
        <v>99</v>
      </c>
      <c r="C23" s="8" t="s">
        <v>70</v>
      </c>
      <c r="D23" s="4">
        <v>15310.39</v>
      </c>
      <c r="E23" s="4">
        <v>0</v>
      </c>
      <c r="F23" s="4">
        <v>400</v>
      </c>
      <c r="G23" s="4">
        <v>0</v>
      </c>
      <c r="H23" s="4">
        <v>15710.39</v>
      </c>
      <c r="I23" s="5">
        <f t="shared" si="0"/>
        <v>0.97453914256743468</v>
      </c>
      <c r="J23" s="5">
        <f t="shared" si="1"/>
        <v>2.5460857432565327E-2</v>
      </c>
      <c r="K23" s="4">
        <v>100</v>
      </c>
      <c r="L23" s="4">
        <v>0</v>
      </c>
      <c r="M23" s="4">
        <f t="shared" si="2"/>
        <v>15410.39</v>
      </c>
      <c r="N23" s="6"/>
      <c r="O23" s="6">
        <f t="shared" si="3"/>
        <v>1672.585459939296</v>
      </c>
      <c r="P23" s="6"/>
      <c r="Q23" s="6">
        <f t="shared" si="4"/>
        <v>1630</v>
      </c>
      <c r="R23" s="6">
        <v>1630</v>
      </c>
      <c r="S23" s="6">
        <f t="shared" si="5"/>
        <v>1224.5662459549378</v>
      </c>
      <c r="T23" s="7">
        <f t="shared" si="6"/>
        <v>9.4542269938650296</v>
      </c>
      <c r="U23" s="7">
        <v>12.584366138544601</v>
      </c>
      <c r="V23" s="4">
        <f t="shared" si="7"/>
        <v>5102.1268058276983</v>
      </c>
      <c r="W23" s="5">
        <f t="shared" si="8"/>
        <v>0.97453914256743479</v>
      </c>
      <c r="X23" s="4">
        <f t="shared" si="9"/>
        <v>20512.516805827698</v>
      </c>
      <c r="Y23" s="3" t="str">
        <f t="shared" si="10"/>
        <v>Jahresabschluss</v>
      </c>
    </row>
    <row r="24" spans="1:25" ht="18.95" customHeight="1" x14ac:dyDescent="0.25">
      <c r="A24" s="9">
        <v>2023</v>
      </c>
      <c r="B24" s="8" t="s">
        <v>100</v>
      </c>
      <c r="C24" s="8" t="s">
        <v>71</v>
      </c>
      <c r="D24" s="4">
        <v>231598.22</v>
      </c>
      <c r="E24" s="4">
        <v>0</v>
      </c>
      <c r="F24" s="4">
        <v>0</v>
      </c>
      <c r="G24" s="4">
        <v>0</v>
      </c>
      <c r="H24" s="4">
        <v>231598.22</v>
      </c>
      <c r="I24" s="5">
        <f t="shared" si="0"/>
        <v>1</v>
      </c>
      <c r="J24" s="5">
        <f t="shared" si="1"/>
        <v>0</v>
      </c>
      <c r="K24" s="4">
        <v>6049</v>
      </c>
      <c r="L24" s="4">
        <v>0</v>
      </c>
      <c r="M24" s="4">
        <f t="shared" si="2"/>
        <v>237647.22</v>
      </c>
      <c r="N24" s="6"/>
      <c r="O24" s="6">
        <f t="shared" si="3"/>
        <v>14511</v>
      </c>
      <c r="P24" s="6"/>
      <c r="Q24" s="6">
        <f t="shared" si="4"/>
        <v>14511</v>
      </c>
      <c r="R24" s="6">
        <v>14511</v>
      </c>
      <c r="S24" s="6">
        <f t="shared" si="5"/>
        <v>18884.321815153751</v>
      </c>
      <c r="T24" s="7">
        <f t="shared" si="6"/>
        <v>16.377039487285508</v>
      </c>
      <c r="U24" s="7">
        <v>12.584366138544601</v>
      </c>
      <c r="V24" s="4">
        <f t="shared" si="7"/>
        <v>-55035.482963579299</v>
      </c>
      <c r="W24" s="5">
        <f t="shared" si="8"/>
        <v>1</v>
      </c>
      <c r="X24" s="4">
        <f t="shared" si="9"/>
        <v>182611.7370364207</v>
      </c>
      <c r="Y24" s="3" t="str">
        <f t="shared" si="10"/>
        <v>Jahresabschluss</v>
      </c>
    </row>
    <row r="25" spans="1:25" ht="18.95" customHeight="1" x14ac:dyDescent="0.25">
      <c r="A25" s="9">
        <v>2023</v>
      </c>
      <c r="B25" s="8" t="s">
        <v>100</v>
      </c>
      <c r="C25" s="8" t="s">
        <v>72</v>
      </c>
      <c r="D25" s="4">
        <v>31513.97</v>
      </c>
      <c r="E25" s="4">
        <v>473872.73</v>
      </c>
      <c r="F25" s="4">
        <v>3</v>
      </c>
      <c r="G25" s="4">
        <v>0</v>
      </c>
      <c r="H25" s="4">
        <v>505389.69999999995</v>
      </c>
      <c r="I25" s="5">
        <f t="shared" si="0"/>
        <v>6.2355782082618626E-2</v>
      </c>
      <c r="J25" s="5">
        <f t="shared" si="1"/>
        <v>0.9376442179173814</v>
      </c>
      <c r="K25" s="4">
        <v>823</v>
      </c>
      <c r="L25" s="4">
        <v>0</v>
      </c>
      <c r="M25" s="4">
        <f t="shared" si="2"/>
        <v>32336.97</v>
      </c>
      <c r="N25" s="6"/>
      <c r="O25" s="6">
        <f t="shared" si="3"/>
        <v>561.29518115299334</v>
      </c>
      <c r="P25" s="6"/>
      <c r="Q25" s="6">
        <f t="shared" si="4"/>
        <v>35</v>
      </c>
      <c r="R25" s="6">
        <v>35</v>
      </c>
      <c r="S25" s="6">
        <f t="shared" si="5"/>
        <v>2569.6145236076081</v>
      </c>
      <c r="T25" s="7">
        <f t="shared" si="6"/>
        <v>923.91342857142865</v>
      </c>
      <c r="U25" s="7">
        <v>12.584366138544601</v>
      </c>
      <c r="V25" s="4">
        <f t="shared" si="7"/>
        <v>-31896.51718515094</v>
      </c>
      <c r="W25" s="5">
        <f t="shared" si="8"/>
        <v>6.2355782082618633E-2</v>
      </c>
      <c r="X25" s="4">
        <f t="shared" si="9"/>
        <v>440.45281484906104</v>
      </c>
      <c r="Y25" s="3" t="str">
        <f t="shared" si="10"/>
        <v>Jahresabschluss</v>
      </c>
    </row>
    <row r="26" spans="1:25" ht="18.95" customHeight="1" x14ac:dyDescent="0.25">
      <c r="A26" s="9">
        <v>2023</v>
      </c>
      <c r="B26" s="8" t="s">
        <v>101</v>
      </c>
      <c r="C26" s="8" t="s">
        <v>73</v>
      </c>
      <c r="D26" s="4">
        <v>281848.69</v>
      </c>
      <c r="E26" s="4">
        <v>0</v>
      </c>
      <c r="F26" s="4">
        <v>0</v>
      </c>
      <c r="G26" s="4">
        <v>0</v>
      </c>
      <c r="H26" s="4">
        <v>281848.69</v>
      </c>
      <c r="I26" s="5">
        <f t="shared" si="0"/>
        <v>1</v>
      </c>
      <c r="J26" s="5">
        <f t="shared" si="1"/>
        <v>0</v>
      </c>
      <c r="K26" s="4">
        <v>7361</v>
      </c>
      <c r="L26" s="4">
        <v>0</v>
      </c>
      <c r="M26" s="4">
        <f t="shared" si="2"/>
        <v>289209.69</v>
      </c>
      <c r="N26" s="6"/>
      <c r="O26" s="6">
        <f t="shared" si="3"/>
        <v>14377</v>
      </c>
      <c r="P26" s="6"/>
      <c r="Q26" s="6">
        <f t="shared" si="4"/>
        <v>14377</v>
      </c>
      <c r="R26" s="6">
        <v>14377</v>
      </c>
      <c r="S26" s="6">
        <f t="shared" si="5"/>
        <v>22981.665251631617</v>
      </c>
      <c r="T26" s="7">
        <f t="shared" si="6"/>
        <v>20.116136189747515</v>
      </c>
      <c r="U26" s="7">
        <v>12.584366138544601</v>
      </c>
      <c r="V26" s="4">
        <f t="shared" si="7"/>
        <v>-108284.25802614426</v>
      </c>
      <c r="W26" s="5">
        <f t="shared" si="8"/>
        <v>1</v>
      </c>
      <c r="X26" s="4">
        <f t="shared" si="9"/>
        <v>180925.43197385574</v>
      </c>
      <c r="Y26" s="3" t="str">
        <f t="shared" si="10"/>
        <v>Jahresabschluss</v>
      </c>
    </row>
    <row r="27" spans="1:25" ht="18.95" customHeight="1" x14ac:dyDescent="0.25">
      <c r="A27" s="9">
        <v>2023</v>
      </c>
      <c r="B27" s="8" t="s">
        <v>102</v>
      </c>
      <c r="C27" s="8" t="s">
        <v>74</v>
      </c>
      <c r="D27" s="4">
        <v>178784.77</v>
      </c>
      <c r="E27" s="4">
        <v>0</v>
      </c>
      <c r="F27" s="4">
        <v>0</v>
      </c>
      <c r="G27" s="4">
        <v>0</v>
      </c>
      <c r="H27" s="4">
        <v>178784.77</v>
      </c>
      <c r="I27" s="5">
        <f t="shared" si="0"/>
        <v>1</v>
      </c>
      <c r="J27" s="5">
        <f t="shared" si="1"/>
        <v>0</v>
      </c>
      <c r="K27" s="4">
        <v>4669</v>
      </c>
      <c r="L27" s="4">
        <v>0</v>
      </c>
      <c r="M27" s="4">
        <f t="shared" si="2"/>
        <v>183453.77</v>
      </c>
      <c r="N27" s="6"/>
      <c r="O27" s="6">
        <f t="shared" si="3"/>
        <v>19021</v>
      </c>
      <c r="P27" s="6"/>
      <c r="Q27" s="6">
        <f t="shared" si="4"/>
        <v>19021</v>
      </c>
      <c r="R27" s="6">
        <v>19021</v>
      </c>
      <c r="S27" s="6">
        <f t="shared" si="5"/>
        <v>14577.911035034194</v>
      </c>
      <c r="T27" s="7">
        <f t="shared" si="6"/>
        <v>9.6448015351453655</v>
      </c>
      <c r="U27" s="7">
        <v>12.584366138544601</v>
      </c>
      <c r="V27" s="4">
        <f t="shared" si="7"/>
        <v>55913.458321256854</v>
      </c>
      <c r="W27" s="5">
        <f t="shared" si="8"/>
        <v>1</v>
      </c>
      <c r="X27" s="4">
        <f t="shared" si="9"/>
        <v>239367.22832125684</v>
      </c>
      <c r="Y27" s="3" t="str">
        <f t="shared" si="10"/>
        <v>Jahresabschluss</v>
      </c>
    </row>
    <row r="28" spans="1:25" ht="18.95" customHeight="1" x14ac:dyDescent="0.25">
      <c r="A28" s="9">
        <v>2023</v>
      </c>
      <c r="B28" s="8" t="s">
        <v>106</v>
      </c>
      <c r="C28" s="8" t="s">
        <v>83</v>
      </c>
      <c r="D28" s="4">
        <v>19950</v>
      </c>
      <c r="E28" s="4">
        <v>0</v>
      </c>
      <c r="F28" s="4">
        <v>0</v>
      </c>
      <c r="G28" s="4">
        <v>0</v>
      </c>
      <c r="H28" s="4">
        <v>19950</v>
      </c>
      <c r="I28" s="5">
        <f t="shared" si="0"/>
        <v>1</v>
      </c>
      <c r="J28" s="5">
        <f t="shared" si="1"/>
        <v>0</v>
      </c>
      <c r="K28" s="4">
        <v>521</v>
      </c>
      <c r="L28" s="4">
        <v>0</v>
      </c>
      <c r="M28" s="4">
        <f t="shared" si="2"/>
        <v>20471</v>
      </c>
      <c r="N28" s="6"/>
      <c r="O28" s="6">
        <f t="shared" si="3"/>
        <v>902</v>
      </c>
      <c r="P28" s="6"/>
      <c r="Q28" s="6">
        <f t="shared" si="4"/>
        <v>902</v>
      </c>
      <c r="R28" s="6">
        <v>902</v>
      </c>
      <c r="S28" s="6">
        <f t="shared" si="5"/>
        <v>1626.7009219717045</v>
      </c>
      <c r="T28" s="7">
        <f t="shared" si="6"/>
        <v>22.695121951219512</v>
      </c>
      <c r="U28" s="7">
        <v>12.584366138544601</v>
      </c>
      <c r="V28" s="4">
        <f t="shared" si="7"/>
        <v>-9119.9017430327694</v>
      </c>
      <c r="W28" s="5">
        <f t="shared" si="8"/>
        <v>1</v>
      </c>
      <c r="X28" s="4">
        <f t="shared" si="9"/>
        <v>11351.098256967231</v>
      </c>
      <c r="Y28" s="3" t="str">
        <f t="shared" si="10"/>
        <v>Jahresabschluss</v>
      </c>
    </row>
    <row r="29" spans="1:25" ht="18.95" customHeight="1" x14ac:dyDescent="0.25">
      <c r="A29" s="9">
        <v>2024</v>
      </c>
      <c r="B29" s="8" t="s">
        <v>98</v>
      </c>
      <c r="C29" s="8" t="s">
        <v>69</v>
      </c>
      <c r="D29" s="4">
        <v>20000</v>
      </c>
      <c r="E29" s="4">
        <v>273560</v>
      </c>
      <c r="F29" s="4">
        <v>17141</v>
      </c>
      <c r="G29" s="4">
        <v>0</v>
      </c>
      <c r="H29" s="4">
        <v>310701</v>
      </c>
      <c r="I29" s="5">
        <f t="shared" si="0"/>
        <v>6.4370568488675603E-2</v>
      </c>
      <c r="J29" s="5">
        <f t="shared" si="1"/>
        <v>0.93562943151132438</v>
      </c>
      <c r="K29" s="4">
        <v>614</v>
      </c>
      <c r="L29" s="4">
        <v>0</v>
      </c>
      <c r="M29" s="4">
        <f t="shared" si="2"/>
        <v>20614</v>
      </c>
      <c r="N29" s="6"/>
      <c r="O29" s="6">
        <f t="shared" si="3"/>
        <v>46201.238700000002</v>
      </c>
      <c r="P29" s="6"/>
      <c r="Q29" s="6">
        <f t="shared" si="4"/>
        <v>2974</v>
      </c>
      <c r="R29" s="6">
        <v>2974</v>
      </c>
      <c r="S29" s="6">
        <f t="shared" si="5"/>
        <v>1419.6969696969697</v>
      </c>
      <c r="T29" s="7">
        <f t="shared" si="6"/>
        <v>6.9314055144586417</v>
      </c>
      <c r="U29" s="7">
        <v>14.52</v>
      </c>
      <c r="V29" s="4">
        <f t="shared" si="7"/>
        <v>22568.479999999996</v>
      </c>
      <c r="W29" s="5">
        <f t="shared" si="8"/>
        <v>6.4370568488675603E-2</v>
      </c>
      <c r="X29" s="4">
        <f t="shared" si="9"/>
        <v>43182.479999999996</v>
      </c>
      <c r="Y29" s="3" t="str">
        <f t="shared" si="10"/>
        <v>Jahresabschluss</v>
      </c>
    </row>
    <row r="30" spans="1:25" ht="18.95" customHeight="1" x14ac:dyDescent="0.25">
      <c r="A30" s="9">
        <v>2024</v>
      </c>
      <c r="B30" s="8" t="s">
        <v>100</v>
      </c>
      <c r="C30" s="8" t="s">
        <v>71</v>
      </c>
      <c r="D30" s="4">
        <v>249108</v>
      </c>
      <c r="E30" s="4">
        <v>0</v>
      </c>
      <c r="F30" s="4">
        <v>0</v>
      </c>
      <c r="G30" s="4">
        <v>0</v>
      </c>
      <c r="H30" s="4">
        <v>249108</v>
      </c>
      <c r="I30" s="5">
        <f t="shared" si="0"/>
        <v>1</v>
      </c>
      <c r="J30" s="5">
        <f t="shared" si="1"/>
        <v>0</v>
      </c>
      <c r="K30" s="4">
        <v>7647</v>
      </c>
      <c r="L30" s="4">
        <v>0</v>
      </c>
      <c r="M30" s="4">
        <f t="shared" si="2"/>
        <v>256755</v>
      </c>
      <c r="N30" s="6"/>
      <c r="O30" s="6">
        <f t="shared" si="3"/>
        <v>15885</v>
      </c>
      <c r="P30" s="6"/>
      <c r="Q30" s="6">
        <f t="shared" si="4"/>
        <v>15885</v>
      </c>
      <c r="R30" s="6">
        <v>15885</v>
      </c>
      <c r="S30" s="6">
        <f t="shared" si="5"/>
        <v>17682.85123966942</v>
      </c>
      <c r="T30" s="7">
        <f t="shared" si="6"/>
        <v>16.163361661945231</v>
      </c>
      <c r="U30" s="7">
        <v>14.52</v>
      </c>
      <c r="V30" s="4">
        <f t="shared" si="7"/>
        <v>-26104.800000000017</v>
      </c>
      <c r="W30" s="5">
        <f t="shared" si="8"/>
        <v>1</v>
      </c>
      <c r="X30" s="4">
        <f t="shared" si="9"/>
        <v>230650.19999999998</v>
      </c>
      <c r="Y30" s="3" t="str">
        <f t="shared" si="10"/>
        <v>Jahresabschluss</v>
      </c>
    </row>
    <row r="31" spans="1:25" ht="18.95" customHeight="1" x14ac:dyDescent="0.25">
      <c r="A31" s="9">
        <v>2024</v>
      </c>
      <c r="B31" s="8" t="s">
        <v>100</v>
      </c>
      <c r="C31" s="8" t="s">
        <v>72</v>
      </c>
      <c r="D31" s="4">
        <v>26591</v>
      </c>
      <c r="E31" s="4">
        <v>504402</v>
      </c>
      <c r="F31" s="4">
        <v>400</v>
      </c>
      <c r="G31" s="4">
        <v>0</v>
      </c>
      <c r="H31" s="4">
        <v>531393</v>
      </c>
      <c r="I31" s="5">
        <f t="shared" si="0"/>
        <v>5.0040177420477873E-2</v>
      </c>
      <c r="J31" s="5">
        <f t="shared" si="1"/>
        <v>0.94995982257952216</v>
      </c>
      <c r="K31" s="4">
        <v>816</v>
      </c>
      <c r="L31" s="4">
        <v>0</v>
      </c>
      <c r="M31" s="4">
        <f t="shared" si="2"/>
        <v>27407</v>
      </c>
      <c r="N31" s="6"/>
      <c r="O31" s="6">
        <f t="shared" si="3"/>
        <v>599.5182580572374</v>
      </c>
      <c r="P31" s="6"/>
      <c r="Q31" s="6">
        <f t="shared" si="4"/>
        <v>30</v>
      </c>
      <c r="R31" s="6">
        <v>30</v>
      </c>
      <c r="S31" s="6">
        <f t="shared" si="5"/>
        <v>1887.534435261708</v>
      </c>
      <c r="T31" s="7">
        <f t="shared" si="6"/>
        <v>913.56666666666672</v>
      </c>
      <c r="U31" s="7">
        <v>14.52</v>
      </c>
      <c r="V31" s="4">
        <f t="shared" si="7"/>
        <v>-26971.4</v>
      </c>
      <c r="W31" s="5">
        <f t="shared" si="8"/>
        <v>5.004017742047788E-2</v>
      </c>
      <c r="X31" s="4">
        <f t="shared" si="9"/>
        <v>435.59999999999997</v>
      </c>
      <c r="Y31" s="3" t="str">
        <f t="shared" si="10"/>
        <v>Jahresabschluss</v>
      </c>
    </row>
    <row r="32" spans="1:25" ht="18.95" customHeight="1" x14ac:dyDescent="0.25">
      <c r="A32" s="9">
        <v>2024</v>
      </c>
      <c r="B32" s="8" t="s">
        <v>101</v>
      </c>
      <c r="C32" s="8" t="s">
        <v>73</v>
      </c>
      <c r="D32" s="4">
        <v>285573</v>
      </c>
      <c r="E32" s="4">
        <v>0</v>
      </c>
      <c r="F32" s="4">
        <v>0</v>
      </c>
      <c r="G32" s="4">
        <v>0</v>
      </c>
      <c r="H32" s="4">
        <v>285573</v>
      </c>
      <c r="I32" s="5">
        <f t="shared" si="0"/>
        <v>1</v>
      </c>
      <c r="J32" s="5">
        <f t="shared" si="1"/>
        <v>0</v>
      </c>
      <c r="K32" s="4">
        <v>8766</v>
      </c>
      <c r="L32" s="4">
        <v>0</v>
      </c>
      <c r="M32" s="4">
        <f t="shared" si="2"/>
        <v>294339</v>
      </c>
      <c r="N32" s="6"/>
      <c r="O32" s="6">
        <f t="shared" si="3"/>
        <v>21443</v>
      </c>
      <c r="P32" s="6"/>
      <c r="Q32" s="6">
        <f t="shared" si="4"/>
        <v>21443</v>
      </c>
      <c r="R32" s="6">
        <v>21443</v>
      </c>
      <c r="S32" s="6">
        <f t="shared" si="5"/>
        <v>20271.280991735537</v>
      </c>
      <c r="T32" s="7">
        <f t="shared" si="6"/>
        <v>13.726577437858509</v>
      </c>
      <c r="U32" s="7">
        <v>14.52</v>
      </c>
      <c r="V32" s="4">
        <f t="shared" si="7"/>
        <v>17013.359999999986</v>
      </c>
      <c r="W32" s="5">
        <f t="shared" si="8"/>
        <v>1</v>
      </c>
      <c r="X32" s="4">
        <f t="shared" si="9"/>
        <v>311352.36</v>
      </c>
      <c r="Y32" s="3" t="str">
        <f t="shared" si="10"/>
        <v>Jahresabschluss</v>
      </c>
    </row>
    <row r="33" spans="1:25" ht="18.95" customHeight="1" x14ac:dyDescent="0.25">
      <c r="A33" s="9">
        <v>2024</v>
      </c>
      <c r="B33" s="8" t="s">
        <v>102</v>
      </c>
      <c r="C33" s="8" t="s">
        <v>74</v>
      </c>
      <c r="D33" s="4">
        <v>181951</v>
      </c>
      <c r="E33" s="4">
        <v>0</v>
      </c>
      <c r="F33" s="4">
        <v>0</v>
      </c>
      <c r="G33" s="4">
        <v>0</v>
      </c>
      <c r="H33" s="4">
        <v>181951</v>
      </c>
      <c r="I33" s="5">
        <f t="shared" si="0"/>
        <v>1</v>
      </c>
      <c r="J33" s="5">
        <f t="shared" si="1"/>
        <v>0</v>
      </c>
      <c r="K33" s="4">
        <v>5585</v>
      </c>
      <c r="L33" s="4">
        <v>0</v>
      </c>
      <c r="M33" s="4">
        <f t="shared" si="2"/>
        <v>187536</v>
      </c>
      <c r="N33" s="6"/>
      <c r="O33" s="6">
        <f t="shared" si="3"/>
        <v>22952</v>
      </c>
      <c r="P33" s="6"/>
      <c r="Q33" s="6">
        <f t="shared" si="4"/>
        <v>22952</v>
      </c>
      <c r="R33" s="6">
        <v>22952</v>
      </c>
      <c r="S33" s="6">
        <f t="shared" si="5"/>
        <v>12915.702479338843</v>
      </c>
      <c r="T33" s="7">
        <f t="shared" si="6"/>
        <v>8.1707912164517253</v>
      </c>
      <c r="U33" s="7">
        <v>14.52</v>
      </c>
      <c r="V33" s="4">
        <f t="shared" si="7"/>
        <v>145727.03999999998</v>
      </c>
      <c r="W33" s="5">
        <f t="shared" si="8"/>
        <v>1</v>
      </c>
      <c r="X33" s="4">
        <f t="shared" si="9"/>
        <v>333263.03999999998</v>
      </c>
      <c r="Y33" s="3" t="str">
        <f t="shared" si="10"/>
        <v>Jahresabschluss</v>
      </c>
    </row>
    <row r="34" spans="1:25" ht="18.95" customHeight="1" x14ac:dyDescent="0.25">
      <c r="A34" s="9">
        <v>2024</v>
      </c>
      <c r="B34" s="8" t="s">
        <v>106</v>
      </c>
      <c r="C34" s="8" t="s">
        <v>83</v>
      </c>
      <c r="D34" s="4">
        <v>21901</v>
      </c>
      <c r="E34" s="4">
        <v>0</v>
      </c>
      <c r="F34" s="4">
        <v>0</v>
      </c>
      <c r="G34" s="4">
        <v>0</v>
      </c>
      <c r="H34" s="4">
        <v>21901</v>
      </c>
      <c r="I34" s="5">
        <f t="shared" ref="I34:I65" si="11">IFERROR(D34/H34,"")</f>
        <v>1</v>
      </c>
      <c r="J34" s="5">
        <f t="shared" ref="J34:J69" si="12">IFERROR((E34+F34)/H34,"")</f>
        <v>0</v>
      </c>
      <c r="K34" s="4">
        <v>672</v>
      </c>
      <c r="L34" s="4">
        <v>0</v>
      </c>
      <c r="M34" s="4">
        <f t="shared" ref="M34:M47" si="13">D34+K34+L34</f>
        <v>22573</v>
      </c>
      <c r="N34" s="6"/>
      <c r="O34" s="6">
        <f t="shared" si="3"/>
        <v>2215</v>
      </c>
      <c r="P34" s="6"/>
      <c r="Q34" s="6">
        <f t="shared" si="4"/>
        <v>2215</v>
      </c>
      <c r="R34" s="6">
        <v>2215</v>
      </c>
      <c r="S34" s="6">
        <f t="shared" ref="S34:S69" si="14">IFERROR(M34/U34,"")</f>
        <v>1554.6143250688706</v>
      </c>
      <c r="T34" s="7">
        <f t="shared" ref="T34:T69" si="15">IFERROR(M34/R34,"")</f>
        <v>10.19097065462754</v>
      </c>
      <c r="U34" s="7">
        <v>14.52</v>
      </c>
      <c r="V34" s="4">
        <f t="shared" ref="V34:V69" si="16">IFERROR(X34-M34,"")</f>
        <v>9588.7999999999993</v>
      </c>
      <c r="W34" s="5">
        <f t="shared" ref="W34:W69" si="17">IFERROR(R34/O34,"")</f>
        <v>1</v>
      </c>
      <c r="X34" s="4">
        <f t="shared" ref="X34:X69" si="18">IFERROR(R34*U34,"")</f>
        <v>32161.8</v>
      </c>
      <c r="Y34" s="3" t="str">
        <f t="shared" si="10"/>
        <v>Jahresabschluss</v>
      </c>
    </row>
    <row r="35" spans="1:25" ht="18.95" customHeight="1" thickBot="1" x14ac:dyDescent="0.3">
      <c r="A35" s="75">
        <v>2024</v>
      </c>
      <c r="B35" s="76" t="s">
        <v>108</v>
      </c>
      <c r="C35" s="76" t="s">
        <v>70</v>
      </c>
      <c r="D35" s="77">
        <v>8896</v>
      </c>
      <c r="E35" s="77">
        <v>0</v>
      </c>
      <c r="F35" s="77">
        <v>0</v>
      </c>
      <c r="G35" s="77">
        <v>0</v>
      </c>
      <c r="H35" s="77">
        <v>8896</v>
      </c>
      <c r="I35" s="78">
        <f t="shared" si="11"/>
        <v>1</v>
      </c>
      <c r="J35" s="78">
        <f t="shared" si="12"/>
        <v>0</v>
      </c>
      <c r="K35" s="77">
        <v>273</v>
      </c>
      <c r="L35" s="77">
        <v>0</v>
      </c>
      <c r="M35" s="77">
        <f t="shared" si="13"/>
        <v>9169</v>
      </c>
      <c r="N35" s="79"/>
      <c r="O35" s="79">
        <f t="shared" si="3"/>
        <v>1227</v>
      </c>
      <c r="P35" s="79"/>
      <c r="Q35" s="79">
        <f t="shared" si="4"/>
        <v>1227</v>
      </c>
      <c r="R35" s="79">
        <v>1227</v>
      </c>
      <c r="S35" s="79">
        <f t="shared" si="14"/>
        <v>631.47382920110192</v>
      </c>
      <c r="T35" s="80">
        <f t="shared" si="15"/>
        <v>7.4726976365118176</v>
      </c>
      <c r="U35" s="80">
        <v>14.52</v>
      </c>
      <c r="V35" s="77">
        <f t="shared" si="16"/>
        <v>8647.0400000000009</v>
      </c>
      <c r="W35" s="78">
        <f t="shared" si="17"/>
        <v>1</v>
      </c>
      <c r="X35" s="77">
        <f t="shared" si="18"/>
        <v>17816.04</v>
      </c>
      <c r="Y35" s="81" t="str">
        <f t="shared" si="10"/>
        <v>Jahresabschluss</v>
      </c>
    </row>
    <row r="36" spans="1:25" ht="18.95" customHeight="1" x14ac:dyDescent="0.25">
      <c r="A36" s="9">
        <v>2025</v>
      </c>
      <c r="B36" s="8" t="s">
        <v>98</v>
      </c>
      <c r="C36" s="8" t="s">
        <v>69</v>
      </c>
      <c r="D36" s="4">
        <v>20000</v>
      </c>
      <c r="E36" s="4">
        <v>296618.03999999998</v>
      </c>
      <c r="F36" s="4">
        <v>13606</v>
      </c>
      <c r="G36" s="4">
        <v>0</v>
      </c>
      <c r="H36" s="4">
        <v>330224.03999999998</v>
      </c>
      <c r="I36" s="5">
        <f t="shared" si="11"/>
        <v>6.0564942515996111E-2</v>
      </c>
      <c r="J36" s="5">
        <f t="shared" si="12"/>
        <v>0.93943505748400391</v>
      </c>
      <c r="K36" s="4">
        <v>1214</v>
      </c>
      <c r="L36" s="4">
        <v>0</v>
      </c>
      <c r="M36" s="4">
        <f t="shared" si="13"/>
        <v>21214</v>
      </c>
      <c r="N36" s="6">
        <v>25022</v>
      </c>
      <c r="O36" s="6">
        <v>25022</v>
      </c>
      <c r="P36" s="6">
        <v>12</v>
      </c>
      <c r="Q36" s="6">
        <f t="shared" si="4"/>
        <v>1528</v>
      </c>
      <c r="R36" s="6">
        <v>1528</v>
      </c>
      <c r="S36" s="6">
        <f t="shared" si="14"/>
        <v>1479.1037452377998</v>
      </c>
      <c r="T36" s="7">
        <f t="shared" si="15"/>
        <v>13.883507853403142</v>
      </c>
      <c r="U36" s="7">
        <v>14.342469261065499</v>
      </c>
      <c r="V36" s="4">
        <f t="shared" si="16"/>
        <v>701.29303090808389</v>
      </c>
      <c r="W36" s="5">
        <f t="shared" si="17"/>
        <v>6.1066261689713054E-2</v>
      </c>
      <c r="X36" s="4">
        <f t="shared" si="18"/>
        <v>21915.293030908084</v>
      </c>
      <c r="Y36" s="3" t="str">
        <f t="shared" si="10"/>
        <v>Jahresabschluss</v>
      </c>
    </row>
    <row r="37" spans="1:25" ht="18.95" customHeight="1" x14ac:dyDescent="0.25">
      <c r="A37" s="9">
        <v>2025</v>
      </c>
      <c r="B37" s="8" t="s">
        <v>100</v>
      </c>
      <c r="C37" s="8" t="s">
        <v>71</v>
      </c>
      <c r="D37" s="4">
        <v>279075.55</v>
      </c>
      <c r="E37" s="4">
        <v>0</v>
      </c>
      <c r="F37" s="4">
        <v>5000</v>
      </c>
      <c r="G37" s="4">
        <v>0</v>
      </c>
      <c r="H37" s="4">
        <v>284075.55</v>
      </c>
      <c r="I37" s="5">
        <f t="shared" si="11"/>
        <v>0.98239904842215386</v>
      </c>
      <c r="J37" s="5">
        <f t="shared" si="12"/>
        <v>1.7600951577846104E-2</v>
      </c>
      <c r="K37" s="4">
        <v>16946</v>
      </c>
      <c r="L37" s="4">
        <v>0</v>
      </c>
      <c r="M37" s="4">
        <f t="shared" si="13"/>
        <v>296021.55</v>
      </c>
      <c r="N37" s="6">
        <v>17282</v>
      </c>
      <c r="O37" s="6">
        <v>17282</v>
      </c>
      <c r="P37" s="6">
        <v>12</v>
      </c>
      <c r="Q37" s="6">
        <f t="shared" si="4"/>
        <v>16989</v>
      </c>
      <c r="R37" s="6">
        <v>16989</v>
      </c>
      <c r="S37" s="6">
        <f t="shared" si="14"/>
        <v>20639.510854911787</v>
      </c>
      <c r="T37" s="7">
        <f t="shared" si="15"/>
        <v>17.424306904467596</v>
      </c>
      <c r="U37" s="7">
        <v>14.342469261065499</v>
      </c>
      <c r="V37" s="4">
        <f t="shared" si="16"/>
        <v>-52357.339723758225</v>
      </c>
      <c r="W37" s="5">
        <f t="shared" si="17"/>
        <v>0.98304594375650967</v>
      </c>
      <c r="X37" s="4">
        <f t="shared" si="18"/>
        <v>243664.21027624176</v>
      </c>
      <c r="Y37" s="3" t="str">
        <f t="shared" si="10"/>
        <v>Jahresabschluss</v>
      </c>
    </row>
    <row r="38" spans="1:25" ht="18.95" customHeight="1" x14ac:dyDescent="0.25">
      <c r="A38" s="9">
        <v>2025</v>
      </c>
      <c r="B38" s="8" t="s">
        <v>100</v>
      </c>
      <c r="C38" s="8" t="s">
        <v>72</v>
      </c>
      <c r="D38" s="4">
        <v>14827</v>
      </c>
      <c r="E38" s="4">
        <v>563038.69999999995</v>
      </c>
      <c r="F38" s="4">
        <v>0</v>
      </c>
      <c r="G38" s="4">
        <v>0</v>
      </c>
      <c r="H38" s="4">
        <v>577865.69999999995</v>
      </c>
      <c r="I38" s="5">
        <f t="shared" si="11"/>
        <v>2.5658210895715045E-2</v>
      </c>
      <c r="J38" s="5">
        <f t="shared" si="12"/>
        <v>0.97434178910428493</v>
      </c>
      <c r="K38" s="4">
        <v>900</v>
      </c>
      <c r="L38" s="4">
        <v>0</v>
      </c>
      <c r="M38" s="4">
        <f t="shared" si="13"/>
        <v>15727</v>
      </c>
      <c r="N38" s="6">
        <v>316</v>
      </c>
      <c r="O38" s="6">
        <v>316</v>
      </c>
      <c r="P38" s="6">
        <v>6</v>
      </c>
      <c r="Q38" s="6">
        <f t="shared" si="4"/>
        <v>6</v>
      </c>
      <c r="R38" s="6">
        <v>12</v>
      </c>
      <c r="S38" s="6">
        <f t="shared" si="14"/>
        <v>1096.5336382273442</v>
      </c>
      <c r="T38" s="7">
        <f t="shared" si="15"/>
        <v>1310.5833333333333</v>
      </c>
      <c r="U38" s="7">
        <v>14.342469261065499</v>
      </c>
      <c r="V38" s="4">
        <f t="shared" si="16"/>
        <v>-15554.890368867214</v>
      </c>
      <c r="W38" s="5">
        <f t="shared" si="17"/>
        <v>3.7974683544303799E-2</v>
      </c>
      <c r="X38" s="4">
        <f t="shared" si="18"/>
        <v>172.10963113278598</v>
      </c>
      <c r="Y38" s="3" t="str">
        <f t="shared" si="10"/>
        <v>Jahresabschluss</v>
      </c>
    </row>
    <row r="39" spans="1:25" ht="18.95" customHeight="1" x14ac:dyDescent="0.25">
      <c r="A39" s="9">
        <v>2025</v>
      </c>
      <c r="B39" s="8" t="s">
        <v>101</v>
      </c>
      <c r="C39" s="8" t="s">
        <v>73</v>
      </c>
      <c r="D39" s="4">
        <v>255696.11</v>
      </c>
      <c r="E39" s="4">
        <v>0</v>
      </c>
      <c r="F39" s="4">
        <v>840</v>
      </c>
      <c r="G39" s="4">
        <v>0</v>
      </c>
      <c r="H39" s="4">
        <v>256536.11</v>
      </c>
      <c r="I39" s="5">
        <f t="shared" si="11"/>
        <v>0.99672560716695979</v>
      </c>
      <c r="J39" s="5">
        <f t="shared" si="12"/>
        <v>3.2743928330401517E-3</v>
      </c>
      <c r="K39" s="4">
        <v>15526</v>
      </c>
      <c r="L39" s="4">
        <v>0</v>
      </c>
      <c r="M39" s="4">
        <f t="shared" si="13"/>
        <v>271222.11</v>
      </c>
      <c r="N39" s="6">
        <v>29143</v>
      </c>
      <c r="O39" s="6">
        <v>29143</v>
      </c>
      <c r="P39" s="6">
        <v>12</v>
      </c>
      <c r="Q39" s="6">
        <f t="shared" si="4"/>
        <v>29058</v>
      </c>
      <c r="R39" s="6">
        <v>29058</v>
      </c>
      <c r="S39" s="6">
        <f t="shared" si="14"/>
        <v>18910.419472626498</v>
      </c>
      <c r="T39" s="7">
        <f t="shared" si="15"/>
        <v>9.3338189138963443</v>
      </c>
      <c r="U39" s="7">
        <v>14.342469261065499</v>
      </c>
      <c r="V39" s="4">
        <f t="shared" si="16"/>
        <v>145541.36178804131</v>
      </c>
      <c r="W39" s="5">
        <f t="shared" si="17"/>
        <v>0.99708334763064888</v>
      </c>
      <c r="X39" s="4">
        <f t="shared" si="18"/>
        <v>416763.47178804129</v>
      </c>
      <c r="Y39" s="3" t="str">
        <f t="shared" si="10"/>
        <v>Jahresabschluss</v>
      </c>
    </row>
    <row r="40" spans="1:25" ht="18.95" customHeight="1" x14ac:dyDescent="0.25">
      <c r="A40" s="9">
        <v>2025</v>
      </c>
      <c r="B40" s="8" t="s">
        <v>102</v>
      </c>
      <c r="C40" s="8" t="s">
        <v>74</v>
      </c>
      <c r="D40" s="4">
        <v>209334</v>
      </c>
      <c r="E40" s="4">
        <v>0</v>
      </c>
      <c r="F40" s="4">
        <v>2000</v>
      </c>
      <c r="G40" s="4">
        <v>0</v>
      </c>
      <c r="H40" s="4">
        <v>211334</v>
      </c>
      <c r="I40" s="5">
        <f t="shared" si="11"/>
        <v>0.99053630745644339</v>
      </c>
      <c r="J40" s="5">
        <f t="shared" si="12"/>
        <v>9.4636925435566451E-3</v>
      </c>
      <c r="K40" s="4">
        <v>12711</v>
      </c>
      <c r="L40" s="4">
        <v>0</v>
      </c>
      <c r="M40" s="4">
        <f t="shared" si="13"/>
        <v>222045</v>
      </c>
      <c r="N40" s="6">
        <v>20445</v>
      </c>
      <c r="O40" s="6">
        <v>20445</v>
      </c>
      <c r="P40" s="6">
        <v>12</v>
      </c>
      <c r="Q40" s="6">
        <f t="shared" si="4"/>
        <v>20262</v>
      </c>
      <c r="R40" s="6">
        <v>20262</v>
      </c>
      <c r="S40" s="6">
        <f t="shared" si="14"/>
        <v>15481.643778227928</v>
      </c>
      <c r="T40" s="7">
        <f t="shared" si="15"/>
        <v>10.958691145987563</v>
      </c>
      <c r="U40" s="7">
        <v>14.342469261065499</v>
      </c>
      <c r="V40" s="4">
        <f t="shared" si="16"/>
        <v>68562.112167709158</v>
      </c>
      <c r="W40" s="5">
        <f t="shared" si="17"/>
        <v>0.99104915627292733</v>
      </c>
      <c r="X40" s="4">
        <f t="shared" si="18"/>
        <v>290607.11216770916</v>
      </c>
      <c r="Y40" s="3" t="str">
        <f t="shared" si="10"/>
        <v>Jahresabschluss</v>
      </c>
    </row>
    <row r="41" spans="1:25" ht="18.95" customHeight="1" x14ac:dyDescent="0.25">
      <c r="A41" s="9">
        <v>2025</v>
      </c>
      <c r="B41" s="8" t="s">
        <v>106</v>
      </c>
      <c r="C41" s="8" t="s">
        <v>83</v>
      </c>
      <c r="D41" s="4">
        <v>10000</v>
      </c>
      <c r="E41" s="4">
        <v>0</v>
      </c>
      <c r="F41" s="4">
        <v>0</v>
      </c>
      <c r="G41" s="4">
        <v>0</v>
      </c>
      <c r="H41" s="4">
        <v>10000</v>
      </c>
      <c r="I41" s="5">
        <f t="shared" si="11"/>
        <v>1</v>
      </c>
      <c r="J41" s="5">
        <f t="shared" si="12"/>
        <v>0</v>
      </c>
      <c r="K41" s="4">
        <v>607</v>
      </c>
      <c r="L41" s="4">
        <v>0</v>
      </c>
      <c r="M41" s="4">
        <f t="shared" si="13"/>
        <v>10607</v>
      </c>
      <c r="N41" s="6">
        <v>1795</v>
      </c>
      <c r="O41" s="6">
        <v>1795</v>
      </c>
      <c r="P41" s="6">
        <v>12</v>
      </c>
      <c r="Q41" s="6">
        <f t="shared" si="4"/>
        <v>1795</v>
      </c>
      <c r="R41" s="6">
        <v>1795</v>
      </c>
      <c r="S41" s="6">
        <f t="shared" si="14"/>
        <v>739.55187261889989</v>
      </c>
      <c r="T41" s="7">
        <f t="shared" si="15"/>
        <v>5.9091922005571034</v>
      </c>
      <c r="U41" s="7">
        <v>14.342469261065499</v>
      </c>
      <c r="V41" s="4">
        <f t="shared" si="16"/>
        <v>15137.73232361257</v>
      </c>
      <c r="W41" s="5">
        <f t="shared" si="17"/>
        <v>1</v>
      </c>
      <c r="X41" s="4">
        <f t="shared" si="18"/>
        <v>25744.73232361257</v>
      </c>
      <c r="Y41" s="3" t="str">
        <f t="shared" si="10"/>
        <v>Jahresabschluss</v>
      </c>
    </row>
    <row r="42" spans="1:25" ht="18.95" customHeight="1" thickBot="1" x14ac:dyDescent="0.3">
      <c r="A42" s="75">
        <v>2025</v>
      </c>
      <c r="B42" s="76" t="s">
        <v>108</v>
      </c>
      <c r="C42" s="76" t="s">
        <v>70</v>
      </c>
      <c r="D42" s="77">
        <v>21881.7</v>
      </c>
      <c r="E42" s="77">
        <v>0</v>
      </c>
      <c r="F42" s="77">
        <v>0</v>
      </c>
      <c r="G42" s="77">
        <v>0</v>
      </c>
      <c r="H42" s="77">
        <v>21881.7</v>
      </c>
      <c r="I42" s="78">
        <f t="shared" si="11"/>
        <v>1</v>
      </c>
      <c r="J42" s="78">
        <f t="shared" si="12"/>
        <v>0</v>
      </c>
      <c r="K42" s="77">
        <v>1329</v>
      </c>
      <c r="L42" s="77">
        <v>0</v>
      </c>
      <c r="M42" s="77">
        <f t="shared" si="13"/>
        <v>23210.7</v>
      </c>
      <c r="N42" s="79">
        <v>2398</v>
      </c>
      <c r="O42" s="79">
        <v>2398</v>
      </c>
      <c r="P42" s="79">
        <v>5</v>
      </c>
      <c r="Q42" s="79">
        <f t="shared" si="4"/>
        <v>999.16666666666663</v>
      </c>
      <c r="R42" s="79">
        <v>2398</v>
      </c>
      <c r="S42" s="79">
        <f t="shared" si="14"/>
        <v>1618.3196615249835</v>
      </c>
      <c r="T42" s="80">
        <f t="shared" si="15"/>
        <v>9.6791909924937443</v>
      </c>
      <c r="U42" s="80">
        <v>14.342469261065499</v>
      </c>
      <c r="V42" s="77">
        <f t="shared" si="16"/>
        <v>11182.541288035067</v>
      </c>
      <c r="W42" s="78">
        <f t="shared" si="17"/>
        <v>1</v>
      </c>
      <c r="X42" s="77">
        <f t="shared" si="18"/>
        <v>34393.241288035068</v>
      </c>
      <c r="Y42" s="81" t="str">
        <f t="shared" si="10"/>
        <v>Jahresabschluss</v>
      </c>
    </row>
    <row r="43" spans="1:25" ht="18.95" customHeight="1" x14ac:dyDescent="0.25">
      <c r="A43" s="9">
        <v>2026</v>
      </c>
      <c r="B43" s="8" t="s">
        <v>98</v>
      </c>
      <c r="C43" s="8" t="s">
        <v>69</v>
      </c>
      <c r="D43" s="4">
        <v>20000</v>
      </c>
      <c r="E43" s="4">
        <v>241991.57</v>
      </c>
      <c r="F43" s="4">
        <v>69833.83</v>
      </c>
      <c r="G43" s="4">
        <v>0</v>
      </c>
      <c r="H43" s="4">
        <f>SUM(Tbl_Dashboard_Daten[[#This Row],[Zuwendung]:[sonstige Einnahmen]])</f>
        <v>331825.40000000002</v>
      </c>
      <c r="I43" s="5">
        <f t="shared" si="11"/>
        <v>6.0272661465939611E-2</v>
      </c>
      <c r="J43" s="5">
        <f t="shared" si="12"/>
        <v>0.93972733853406043</v>
      </c>
      <c r="K43" s="4">
        <v>1214</v>
      </c>
      <c r="L43" s="4">
        <v>0</v>
      </c>
      <c r="M43" s="4">
        <f t="shared" si="13"/>
        <v>21214</v>
      </c>
      <c r="N43" s="6">
        <f>'[1]Zahlungen u. Mengen'!$S$223</f>
        <v>9520</v>
      </c>
      <c r="O43" s="82">
        <f>Tbl_Dashboard_Daten[[#This Row],[Jahresmengen laufend]]/Tbl_Dashboard_Daten[[#This Row],[KLR-Monat]]*12</f>
        <v>16320</v>
      </c>
      <c r="P43" s="6">
        <f>COUNT('[1]Zahlungen u. Mengen'!$P$211:$P$222)</f>
        <v>7</v>
      </c>
      <c r="Q43" s="6">
        <f>'[1]Zahlungen u. Mengen'!$W$223</f>
        <v>582</v>
      </c>
      <c r="R43" s="6">
        <f>SUM(Tbl_Dashboard_Daten[[#This Row],[KLR-Mengen laufend]]/Tbl_Dashboard_Daten[[#This Row],[KLR-Monat]]*12)</f>
        <v>997.71428571428567</v>
      </c>
      <c r="S43" s="6">
        <f t="shared" si="14"/>
        <v>1352.9336734693877</v>
      </c>
      <c r="T43" s="7">
        <f t="shared" si="15"/>
        <v>21.262600229095074</v>
      </c>
      <c r="U43" s="7">
        <v>15.68</v>
      </c>
      <c r="V43" s="4">
        <f t="shared" si="16"/>
        <v>-5569.84</v>
      </c>
      <c r="W43" s="5">
        <f>IFERROR(R43/O43,"")</f>
        <v>6.1134453781512603E-2</v>
      </c>
      <c r="X43" s="4">
        <f t="shared" si="18"/>
        <v>15644.16</v>
      </c>
      <c r="Y43" s="3" t="str">
        <f t="shared" si="10"/>
        <v>Hochrechnung</v>
      </c>
    </row>
    <row r="44" spans="1:25" ht="18.95" customHeight="1" x14ac:dyDescent="0.25">
      <c r="A44" s="9">
        <v>2026</v>
      </c>
      <c r="B44" s="8" t="s">
        <v>109</v>
      </c>
      <c r="C44" s="8" t="s">
        <v>71</v>
      </c>
      <c r="D44" s="4">
        <v>279075.55</v>
      </c>
      <c r="E44" s="4">
        <v>0</v>
      </c>
      <c r="F44" s="4">
        <v>5000</v>
      </c>
      <c r="G44" s="4">
        <v>0</v>
      </c>
      <c r="H44" s="4">
        <f>SUM(Tbl_Dashboard_Daten[[#This Row],[Zuwendung]:[sonstige Einnahmen]])</f>
        <v>284075.55</v>
      </c>
      <c r="I44" s="5">
        <f t="shared" si="11"/>
        <v>0.98239904842215386</v>
      </c>
      <c r="J44" s="5">
        <f t="shared" si="12"/>
        <v>1.7600951577846104E-2</v>
      </c>
      <c r="K44" s="4">
        <v>16946</v>
      </c>
      <c r="L44" s="4">
        <v>0</v>
      </c>
      <c r="M44" s="4">
        <f t="shared" si="13"/>
        <v>296021.55</v>
      </c>
      <c r="N44" s="6">
        <f>'[1]Zahlungen u. Mengen'!$S$210</f>
        <v>10813</v>
      </c>
      <c r="O44" s="6">
        <f>Tbl_Dashboard_Daten[[#This Row],[Jahresmengen laufend]]/Tbl_Dashboard_Daten[[#This Row],[KLR-Monat]]*12</f>
        <v>18536.571428571428</v>
      </c>
      <c r="P44" s="6">
        <f>COUNT('[1]Zahlungen u. Mengen'!$P$198:$P$209)</f>
        <v>7</v>
      </c>
      <c r="Q44" s="6">
        <f>'[1]Zahlungen u. Mengen'!$W$210</f>
        <v>10634</v>
      </c>
      <c r="R44" s="6">
        <f>SUM(Tbl_Dashboard_Daten[[#This Row],[KLR-Mengen laufend]]/Tbl_Dashboard_Daten[[#This Row],[KLR-Monat]]*12)</f>
        <v>18229.714285714286</v>
      </c>
      <c r="S44" s="6">
        <f t="shared" si="14"/>
        <v>18878.925382653062</v>
      </c>
      <c r="T44" s="7">
        <f t="shared" si="15"/>
        <v>16.238408642091404</v>
      </c>
      <c r="U44" s="7">
        <v>15.68</v>
      </c>
      <c r="V44" s="4">
        <f t="shared" si="16"/>
        <v>-10179.630000000005</v>
      </c>
      <c r="W44" s="5">
        <f>IFERROR(R44/O44,"")</f>
        <v>0.98344585221492653</v>
      </c>
      <c r="X44" s="4">
        <f t="shared" si="18"/>
        <v>285841.91999999998</v>
      </c>
      <c r="Y44" s="3" t="str">
        <f t="shared" si="10"/>
        <v>Hochrechnung</v>
      </c>
    </row>
    <row r="45" spans="1:25" ht="18.95" customHeight="1" x14ac:dyDescent="0.25">
      <c r="A45" s="9">
        <v>2026</v>
      </c>
      <c r="B45" s="8" t="s">
        <v>101</v>
      </c>
      <c r="C45" s="8" t="s">
        <v>73</v>
      </c>
      <c r="D45" s="4">
        <v>307259.90000000002</v>
      </c>
      <c r="E45" s="4">
        <v>0</v>
      </c>
      <c r="F45" s="4">
        <v>840</v>
      </c>
      <c r="G45" s="4">
        <v>0</v>
      </c>
      <c r="H45" s="4">
        <f>SUM(Tbl_Dashboard_Daten[[#This Row],[Zuwendung]:[sonstige Einnahmen]])</f>
        <v>308099.90000000002</v>
      </c>
      <c r="I45" s="5">
        <f t="shared" si="11"/>
        <v>0.99727361157858219</v>
      </c>
      <c r="J45" s="5">
        <f t="shared" si="12"/>
        <v>2.7263884214178582E-3</v>
      </c>
      <c r="K45" s="4">
        <v>900</v>
      </c>
      <c r="L45" s="4">
        <v>0</v>
      </c>
      <c r="M45" s="4">
        <f t="shared" si="13"/>
        <v>308159.90000000002</v>
      </c>
      <c r="N45" s="6">
        <f>'[1]Zahlungen u. Mengen'!$S$184</f>
        <v>17894</v>
      </c>
      <c r="O45" s="6">
        <f>Tbl_Dashboard_Daten[[#This Row],[Jahresmengen laufend]]/Tbl_Dashboard_Daten[[#This Row],[KLR-Monat]]*12</f>
        <v>30675.428571428572</v>
      </c>
      <c r="P45" s="6">
        <f>COUNT('[1]Zahlungen u. Mengen'!$P$172:$P$183)</f>
        <v>7</v>
      </c>
      <c r="Q45" s="6">
        <f>'[1]Zahlungen u. Mengen'!$W$184</f>
        <v>17852</v>
      </c>
      <c r="R45" s="6">
        <f>SUM(Tbl_Dashboard_Daten[[#This Row],[KLR-Mengen laufend]]/Tbl_Dashboard_Daten[[#This Row],[KLR-Monat]]*12)</f>
        <v>30603.428571428572</v>
      </c>
      <c r="S45" s="6">
        <f t="shared" si="14"/>
        <v>19653.054846938776</v>
      </c>
      <c r="T45" s="7">
        <f t="shared" si="15"/>
        <v>10.069456736873553</v>
      </c>
      <c r="U45" s="7">
        <v>15.68</v>
      </c>
      <c r="V45" s="4">
        <f t="shared" si="16"/>
        <v>171701.86</v>
      </c>
      <c r="W45" s="5">
        <f>IFERROR(R45/O45,"")</f>
        <v>0.99765284452889236</v>
      </c>
      <c r="X45" s="4">
        <f t="shared" si="18"/>
        <v>479861.76000000001</v>
      </c>
      <c r="Y45" s="3" t="str">
        <f t="shared" si="10"/>
        <v>Hochrechnung</v>
      </c>
    </row>
    <row r="46" spans="1:25" ht="18.95" customHeight="1" x14ac:dyDescent="0.25">
      <c r="A46" s="9">
        <v>2026</v>
      </c>
      <c r="B46" s="8" t="s">
        <v>102</v>
      </c>
      <c r="C46" s="8" t="s">
        <v>74</v>
      </c>
      <c r="D46" s="4">
        <v>219165.41</v>
      </c>
      <c r="E46" s="4">
        <v>19885</v>
      </c>
      <c r="F46" s="4">
        <v>2000</v>
      </c>
      <c r="G46" s="4">
        <v>0</v>
      </c>
      <c r="H46" s="4">
        <f>SUM(Tbl_Dashboard_Daten[[#This Row],[Zuwendung]:[sonstige Einnahmen]])</f>
        <v>241050.41</v>
      </c>
      <c r="I46" s="5">
        <f t="shared" si="11"/>
        <v>0.9092098619537714</v>
      </c>
      <c r="J46" s="5">
        <f t="shared" si="12"/>
        <v>9.0790138046228583E-2</v>
      </c>
      <c r="K46" s="4">
        <v>15526</v>
      </c>
      <c r="L46" s="4">
        <v>0</v>
      </c>
      <c r="M46" s="4">
        <f t="shared" si="13"/>
        <v>234691.41</v>
      </c>
      <c r="N46" s="6">
        <f>'[1]Zahlungen u. Mengen'!$S$197</f>
        <v>13598</v>
      </c>
      <c r="O46" s="6">
        <f>Tbl_Dashboard_Daten[[#This Row],[Jahresmengen laufend]]/Tbl_Dashboard_Daten[[#This Row],[KLR-Monat]]*12</f>
        <v>23310.857142857145</v>
      </c>
      <c r="P46" s="6">
        <f>COUNT('[1]Zahlungen u. Mengen'!$P$185:$P$196)</f>
        <v>7</v>
      </c>
      <c r="Q46" s="6">
        <f>'[1]Zahlungen u. Mengen'!$W$197</f>
        <v>12372</v>
      </c>
      <c r="R46" s="6">
        <f>SUM(Tbl_Dashboard_Daten[[#This Row],[KLR-Mengen laufend]]/Tbl_Dashboard_Daten[[#This Row],[KLR-Monat]]*12)</f>
        <v>21209.142857142855</v>
      </c>
      <c r="S46" s="6">
        <f t="shared" si="14"/>
        <v>14967.564413265307</v>
      </c>
      <c r="T46" s="7">
        <f t="shared" si="15"/>
        <v>11.065577311671518</v>
      </c>
      <c r="U46" s="7">
        <v>15.68</v>
      </c>
      <c r="V46" s="4">
        <f t="shared" si="16"/>
        <v>97867.949999999983</v>
      </c>
      <c r="W46" s="5">
        <f>IFERROR(R46/O46,"")</f>
        <v>0.90983968230622136</v>
      </c>
      <c r="X46" s="4">
        <f t="shared" si="18"/>
        <v>332559.35999999999</v>
      </c>
      <c r="Y46" s="3" t="str">
        <f t="shared" si="10"/>
        <v>Hochrechnung</v>
      </c>
    </row>
    <row r="47" spans="1:25" ht="18.95" customHeight="1" x14ac:dyDescent="0.25">
      <c r="A47" s="9">
        <v>2026</v>
      </c>
      <c r="B47" s="8" t="s">
        <v>108</v>
      </c>
      <c r="C47" s="8" t="s">
        <v>70</v>
      </c>
      <c r="D47" s="4">
        <v>22281.7</v>
      </c>
      <c r="E47" s="4">
        <v>0</v>
      </c>
      <c r="F47" s="4">
        <v>0</v>
      </c>
      <c r="G47" s="4">
        <v>0</v>
      </c>
      <c r="H47" s="4">
        <f>SUM(Tbl_Dashboard_Daten[[#This Row],[Zuwendung]:[sonstige Einnahmen]])</f>
        <v>22281.7</v>
      </c>
      <c r="I47" s="5">
        <f t="shared" si="11"/>
        <v>1</v>
      </c>
      <c r="J47" s="5">
        <f t="shared" si="12"/>
        <v>0</v>
      </c>
      <c r="K47" s="4">
        <v>607</v>
      </c>
      <c r="L47" s="4">
        <v>0</v>
      </c>
      <c r="M47" s="4">
        <f t="shared" si="13"/>
        <v>22888.7</v>
      </c>
      <c r="N47" s="6">
        <f>'[1]Zahlungen u. Mengen'!$S$236</f>
        <v>1997</v>
      </c>
      <c r="O47" s="6">
        <f>Tbl_Dashboard_Daten[[#This Row],[Jahresmengen laufend]]/Tbl_Dashboard_Daten[[#This Row],[KLR-Monat]]*5</f>
        <v>3328.333333333333</v>
      </c>
      <c r="P47" s="6">
        <f>COUNT('[1]Zahlungen u. Mengen'!$P$224:$P$235)</f>
        <v>3</v>
      </c>
      <c r="Q47" s="6">
        <f>'[1]Zahlungen u. Mengen'!$W$236</f>
        <v>1997</v>
      </c>
      <c r="R47" s="6">
        <f>SUM(Tbl_Dashboard_Daten[[#This Row],[KLR-Mengen laufend]]/Tbl_Dashboard_Daten[[#This Row],[KLR-Monat]]*5)</f>
        <v>3328.333333333333</v>
      </c>
      <c r="S47" s="6">
        <f t="shared" si="14"/>
        <v>1459.7385204081634</v>
      </c>
      <c r="T47" s="7">
        <f t="shared" si="15"/>
        <v>6.8769253880821237</v>
      </c>
      <c r="U47" s="7">
        <v>15.68</v>
      </c>
      <c r="V47" s="4">
        <f t="shared" si="16"/>
        <v>29299.566666666662</v>
      </c>
      <c r="W47" s="5">
        <f>IFERROR(R47/O47,"")</f>
        <v>1</v>
      </c>
      <c r="X47" s="4">
        <f t="shared" si="18"/>
        <v>52188.266666666663</v>
      </c>
      <c r="Y47" s="3" t="str">
        <f t="shared" si="10"/>
        <v>Hochrechnung</v>
      </c>
    </row>
    <row r="48" spans="1:25" ht="18.95" customHeight="1" x14ac:dyDescent="0.25">
      <c r="A48" s="9"/>
      <c r="B48" s="8"/>
      <c r="C48" s="8"/>
      <c r="D48" s="4"/>
      <c r="E48" s="4"/>
      <c r="F48" s="4"/>
      <c r="G48" s="4"/>
      <c r="H48" s="4"/>
      <c r="I48" s="5" t="str">
        <f t="shared" si="11"/>
        <v/>
      </c>
      <c r="J48" s="5" t="str">
        <f t="shared" si="12"/>
        <v/>
      </c>
      <c r="K48" s="4"/>
      <c r="L48" s="4"/>
      <c r="M48" s="4"/>
      <c r="N48" s="6"/>
      <c r="O48" s="6"/>
      <c r="P48" s="6"/>
      <c r="Q48" s="6"/>
      <c r="R48" s="6"/>
      <c r="S48" s="6" t="str">
        <f t="shared" si="14"/>
        <v/>
      </c>
      <c r="T48" s="7" t="str">
        <f t="shared" si="15"/>
        <v/>
      </c>
      <c r="U48" s="7"/>
      <c r="V48" s="4">
        <f t="shared" si="16"/>
        <v>0</v>
      </c>
      <c r="W48" s="5" t="str">
        <f>IFERROR(R48/#REF!,"")</f>
        <v/>
      </c>
      <c r="X48" s="4">
        <f t="shared" si="18"/>
        <v>0</v>
      </c>
      <c r="Y48" s="3"/>
    </row>
    <row r="49" spans="1:25" ht="18.95" customHeight="1" x14ac:dyDescent="0.25">
      <c r="A49" s="9"/>
      <c r="B49" s="8"/>
      <c r="C49" s="8"/>
      <c r="D49" s="4"/>
      <c r="E49" s="4"/>
      <c r="F49" s="4"/>
      <c r="G49" s="4"/>
      <c r="H49" s="4"/>
      <c r="I49" s="5" t="str">
        <f t="shared" si="11"/>
        <v/>
      </c>
      <c r="J49" s="5" t="str">
        <f t="shared" si="12"/>
        <v/>
      </c>
      <c r="K49" s="4"/>
      <c r="L49" s="4"/>
      <c r="M49" s="4"/>
      <c r="N49" s="6"/>
      <c r="O49" s="6"/>
      <c r="P49" s="6"/>
      <c r="Q49" s="6"/>
      <c r="R49" s="6"/>
      <c r="S49" s="6" t="str">
        <f t="shared" si="14"/>
        <v/>
      </c>
      <c r="T49" s="7" t="str">
        <f t="shared" si="15"/>
        <v/>
      </c>
      <c r="U49" s="7"/>
      <c r="V49" s="4">
        <f t="shared" si="16"/>
        <v>0</v>
      </c>
      <c r="W49" s="5" t="str">
        <f t="shared" si="17"/>
        <v/>
      </c>
      <c r="X49" s="4">
        <f t="shared" si="18"/>
        <v>0</v>
      </c>
      <c r="Y49" s="3"/>
    </row>
    <row r="50" spans="1:25" ht="18.95" customHeight="1" x14ac:dyDescent="0.25">
      <c r="A50" s="9"/>
      <c r="B50" s="8"/>
      <c r="C50" s="8"/>
      <c r="D50" s="4"/>
      <c r="E50" s="4"/>
      <c r="F50" s="4"/>
      <c r="G50" s="4"/>
      <c r="H50" s="4"/>
      <c r="I50" s="5" t="str">
        <f t="shared" si="11"/>
        <v/>
      </c>
      <c r="J50" s="5" t="str">
        <f t="shared" si="12"/>
        <v/>
      </c>
      <c r="K50" s="4"/>
      <c r="L50" s="4"/>
      <c r="M50" s="4"/>
      <c r="N50" s="6"/>
      <c r="O50" s="6"/>
      <c r="P50" s="6"/>
      <c r="Q50" s="6"/>
      <c r="R50" s="6"/>
      <c r="S50" s="6" t="str">
        <f t="shared" si="14"/>
        <v/>
      </c>
      <c r="T50" s="7" t="str">
        <f t="shared" si="15"/>
        <v/>
      </c>
      <c r="U50" s="7"/>
      <c r="V50" s="4">
        <f t="shared" si="16"/>
        <v>0</v>
      </c>
      <c r="W50" s="5" t="str">
        <f t="shared" si="17"/>
        <v/>
      </c>
      <c r="X50" s="4">
        <f t="shared" si="18"/>
        <v>0</v>
      </c>
      <c r="Y50" s="3"/>
    </row>
    <row r="51" spans="1:25" ht="18.95" customHeight="1" x14ac:dyDescent="0.25">
      <c r="A51" s="9"/>
      <c r="B51" s="8"/>
      <c r="C51" s="8"/>
      <c r="D51" s="4"/>
      <c r="E51" s="4"/>
      <c r="F51" s="4"/>
      <c r="G51" s="4"/>
      <c r="H51" s="4"/>
      <c r="I51" s="5" t="str">
        <f t="shared" si="11"/>
        <v/>
      </c>
      <c r="J51" s="5" t="str">
        <f t="shared" si="12"/>
        <v/>
      </c>
      <c r="K51" s="4"/>
      <c r="L51" s="4"/>
      <c r="M51" s="4"/>
      <c r="N51" s="6"/>
      <c r="O51" s="6"/>
      <c r="P51" s="6"/>
      <c r="Q51" s="6"/>
      <c r="R51" s="6"/>
      <c r="S51" s="6" t="str">
        <f t="shared" si="14"/>
        <v/>
      </c>
      <c r="T51" s="7" t="str">
        <f t="shared" si="15"/>
        <v/>
      </c>
      <c r="U51" s="7"/>
      <c r="V51" s="4">
        <f t="shared" si="16"/>
        <v>0</v>
      </c>
      <c r="W51" s="5" t="str">
        <f t="shared" si="17"/>
        <v/>
      </c>
      <c r="X51" s="4">
        <f t="shared" si="18"/>
        <v>0</v>
      </c>
      <c r="Y51" s="3"/>
    </row>
    <row r="52" spans="1:25" ht="18.95" customHeight="1" x14ac:dyDescent="0.25">
      <c r="A52" s="9"/>
      <c r="B52" s="8"/>
      <c r="C52" s="8"/>
      <c r="D52" s="4"/>
      <c r="E52" s="4"/>
      <c r="F52" s="4"/>
      <c r="G52" s="4"/>
      <c r="H52" s="4"/>
      <c r="I52" s="5" t="str">
        <f t="shared" si="11"/>
        <v/>
      </c>
      <c r="J52" s="5" t="str">
        <f t="shared" si="12"/>
        <v/>
      </c>
      <c r="K52" s="4"/>
      <c r="L52" s="4"/>
      <c r="M52" s="4"/>
      <c r="N52" s="6"/>
      <c r="O52" s="6"/>
      <c r="P52" s="6"/>
      <c r="Q52" s="6"/>
      <c r="R52" s="6"/>
      <c r="S52" s="6" t="str">
        <f t="shared" si="14"/>
        <v/>
      </c>
      <c r="T52" s="7" t="str">
        <f t="shared" si="15"/>
        <v/>
      </c>
      <c r="U52" s="7"/>
      <c r="V52" s="4">
        <f t="shared" si="16"/>
        <v>0</v>
      </c>
      <c r="W52" s="5" t="str">
        <f t="shared" si="17"/>
        <v/>
      </c>
      <c r="X52" s="4">
        <f t="shared" si="18"/>
        <v>0</v>
      </c>
      <c r="Y52" s="3"/>
    </row>
    <row r="53" spans="1:25" ht="18.95" customHeight="1" x14ac:dyDescent="0.25">
      <c r="A53" s="9"/>
      <c r="B53" s="8"/>
      <c r="C53" s="8"/>
      <c r="D53" s="4"/>
      <c r="E53" s="4"/>
      <c r="F53" s="4"/>
      <c r="G53" s="4"/>
      <c r="H53" s="4"/>
      <c r="I53" s="5" t="str">
        <f t="shared" si="11"/>
        <v/>
      </c>
      <c r="J53" s="5" t="str">
        <f t="shared" si="12"/>
        <v/>
      </c>
      <c r="K53" s="4"/>
      <c r="L53" s="4"/>
      <c r="M53" s="4"/>
      <c r="N53" s="6"/>
      <c r="O53" s="6"/>
      <c r="P53" s="6"/>
      <c r="Q53" s="6"/>
      <c r="R53" s="6"/>
      <c r="S53" s="6" t="str">
        <f t="shared" si="14"/>
        <v/>
      </c>
      <c r="T53" s="7" t="str">
        <f t="shared" si="15"/>
        <v/>
      </c>
      <c r="U53" s="7"/>
      <c r="V53" s="4">
        <f t="shared" si="16"/>
        <v>0</v>
      </c>
      <c r="W53" s="5" t="str">
        <f t="shared" si="17"/>
        <v/>
      </c>
      <c r="X53" s="4">
        <f t="shared" si="18"/>
        <v>0</v>
      </c>
      <c r="Y53" s="3"/>
    </row>
    <row r="54" spans="1:25" ht="18.95" customHeight="1" x14ac:dyDescent="0.25">
      <c r="A54" s="9"/>
      <c r="B54" s="8"/>
      <c r="C54" s="8"/>
      <c r="D54" s="4"/>
      <c r="E54" s="4"/>
      <c r="F54" s="4"/>
      <c r="G54" s="4"/>
      <c r="H54" s="4"/>
      <c r="I54" s="5" t="str">
        <f t="shared" si="11"/>
        <v/>
      </c>
      <c r="J54" s="5" t="str">
        <f t="shared" si="12"/>
        <v/>
      </c>
      <c r="K54" s="4"/>
      <c r="L54" s="4"/>
      <c r="M54" s="4"/>
      <c r="N54" s="6"/>
      <c r="O54" s="6"/>
      <c r="P54" s="6"/>
      <c r="Q54" s="6"/>
      <c r="R54" s="6"/>
      <c r="S54" s="6" t="str">
        <f t="shared" si="14"/>
        <v/>
      </c>
      <c r="T54" s="7" t="str">
        <f t="shared" si="15"/>
        <v/>
      </c>
      <c r="U54" s="7"/>
      <c r="V54" s="4">
        <f t="shared" si="16"/>
        <v>0</v>
      </c>
      <c r="W54" s="5" t="str">
        <f t="shared" si="17"/>
        <v/>
      </c>
      <c r="X54" s="4">
        <f t="shared" si="18"/>
        <v>0</v>
      </c>
      <c r="Y54" s="3"/>
    </row>
    <row r="55" spans="1:25" ht="18.95" customHeight="1" x14ac:dyDescent="0.25">
      <c r="A55" s="9"/>
      <c r="B55" s="8"/>
      <c r="C55" s="8"/>
      <c r="D55" s="4"/>
      <c r="E55" s="4"/>
      <c r="F55" s="4"/>
      <c r="G55" s="4"/>
      <c r="H55" s="4"/>
      <c r="I55" s="5" t="str">
        <f t="shared" si="11"/>
        <v/>
      </c>
      <c r="J55" s="5" t="str">
        <f t="shared" si="12"/>
        <v/>
      </c>
      <c r="K55" s="4"/>
      <c r="L55" s="4"/>
      <c r="M55" s="4"/>
      <c r="N55" s="6"/>
      <c r="O55" s="6"/>
      <c r="P55" s="6"/>
      <c r="Q55" s="6"/>
      <c r="R55" s="6"/>
      <c r="S55" s="6" t="str">
        <f t="shared" si="14"/>
        <v/>
      </c>
      <c r="T55" s="7" t="str">
        <f t="shared" si="15"/>
        <v/>
      </c>
      <c r="U55" s="7"/>
      <c r="V55" s="4">
        <f t="shared" si="16"/>
        <v>0</v>
      </c>
      <c r="W55" s="5" t="str">
        <f t="shared" si="17"/>
        <v/>
      </c>
      <c r="X55" s="4">
        <f t="shared" si="18"/>
        <v>0</v>
      </c>
      <c r="Y55" s="3"/>
    </row>
    <row r="56" spans="1:25" ht="18.95" customHeight="1" x14ac:dyDescent="0.25">
      <c r="A56" s="9"/>
      <c r="B56" s="8"/>
      <c r="C56" s="8"/>
      <c r="D56" s="4"/>
      <c r="E56" s="4"/>
      <c r="F56" s="4"/>
      <c r="G56" s="4"/>
      <c r="H56" s="4"/>
      <c r="I56" s="5" t="str">
        <f t="shared" si="11"/>
        <v/>
      </c>
      <c r="J56" s="5" t="str">
        <f t="shared" si="12"/>
        <v/>
      </c>
      <c r="K56" s="4"/>
      <c r="L56" s="4"/>
      <c r="M56" s="4"/>
      <c r="N56" s="6"/>
      <c r="O56" s="6"/>
      <c r="P56" s="6"/>
      <c r="Q56" s="6"/>
      <c r="R56" s="6"/>
      <c r="S56" s="6" t="str">
        <f t="shared" si="14"/>
        <v/>
      </c>
      <c r="T56" s="7" t="str">
        <f t="shared" si="15"/>
        <v/>
      </c>
      <c r="U56" s="7"/>
      <c r="V56" s="4">
        <f t="shared" si="16"/>
        <v>0</v>
      </c>
      <c r="W56" s="5" t="str">
        <f t="shared" si="17"/>
        <v/>
      </c>
      <c r="X56" s="4">
        <f t="shared" si="18"/>
        <v>0</v>
      </c>
      <c r="Y56" s="3"/>
    </row>
    <row r="57" spans="1:25" ht="18.95" customHeight="1" x14ac:dyDescent="0.25">
      <c r="A57" s="9"/>
      <c r="B57" s="8"/>
      <c r="C57" s="8"/>
      <c r="D57" s="4"/>
      <c r="E57" s="4"/>
      <c r="F57" s="4"/>
      <c r="G57" s="4"/>
      <c r="H57" s="4"/>
      <c r="I57" s="5" t="str">
        <f t="shared" si="11"/>
        <v/>
      </c>
      <c r="J57" s="5" t="str">
        <f t="shared" si="12"/>
        <v/>
      </c>
      <c r="K57" s="4"/>
      <c r="L57" s="4"/>
      <c r="M57" s="4"/>
      <c r="N57" s="6"/>
      <c r="O57" s="6"/>
      <c r="P57" s="6"/>
      <c r="Q57" s="6"/>
      <c r="R57" s="6"/>
      <c r="S57" s="6" t="str">
        <f t="shared" si="14"/>
        <v/>
      </c>
      <c r="T57" s="7" t="str">
        <f t="shared" si="15"/>
        <v/>
      </c>
      <c r="U57" s="7"/>
      <c r="V57" s="4">
        <f t="shared" si="16"/>
        <v>0</v>
      </c>
      <c r="W57" s="5" t="str">
        <f t="shared" si="17"/>
        <v/>
      </c>
      <c r="X57" s="4">
        <f t="shared" si="18"/>
        <v>0</v>
      </c>
      <c r="Y57" s="3"/>
    </row>
    <row r="58" spans="1:25" ht="18.95" customHeight="1" x14ac:dyDescent="0.25">
      <c r="A58" s="9"/>
      <c r="B58" s="8"/>
      <c r="C58" s="8"/>
      <c r="D58" s="4"/>
      <c r="E58" s="4"/>
      <c r="F58" s="4"/>
      <c r="G58" s="4"/>
      <c r="H58" s="4"/>
      <c r="I58" s="5" t="str">
        <f t="shared" si="11"/>
        <v/>
      </c>
      <c r="J58" s="5" t="str">
        <f t="shared" si="12"/>
        <v/>
      </c>
      <c r="K58" s="4"/>
      <c r="L58" s="4"/>
      <c r="M58" s="4"/>
      <c r="N58" s="6"/>
      <c r="O58" s="6"/>
      <c r="P58" s="6"/>
      <c r="Q58" s="6"/>
      <c r="R58" s="6"/>
      <c r="S58" s="6" t="str">
        <f t="shared" si="14"/>
        <v/>
      </c>
      <c r="T58" s="7" t="str">
        <f t="shared" si="15"/>
        <v/>
      </c>
      <c r="U58" s="7"/>
      <c r="V58" s="4">
        <f t="shared" si="16"/>
        <v>0</v>
      </c>
      <c r="W58" s="5" t="str">
        <f t="shared" si="17"/>
        <v/>
      </c>
      <c r="X58" s="4">
        <f t="shared" si="18"/>
        <v>0</v>
      </c>
      <c r="Y58" s="3"/>
    </row>
    <row r="59" spans="1:25" ht="18.95" customHeight="1" x14ac:dyDescent="0.25">
      <c r="A59" s="9"/>
      <c r="B59" s="8"/>
      <c r="C59" s="8"/>
      <c r="D59" s="4"/>
      <c r="E59" s="4"/>
      <c r="F59" s="4"/>
      <c r="G59" s="4"/>
      <c r="H59" s="4"/>
      <c r="I59" s="5" t="str">
        <f t="shared" si="11"/>
        <v/>
      </c>
      <c r="J59" s="5" t="str">
        <f t="shared" si="12"/>
        <v/>
      </c>
      <c r="K59" s="4"/>
      <c r="L59" s="4"/>
      <c r="M59" s="4"/>
      <c r="N59" s="6"/>
      <c r="O59" s="6"/>
      <c r="P59" s="6"/>
      <c r="Q59" s="6"/>
      <c r="R59" s="6"/>
      <c r="S59" s="6" t="str">
        <f t="shared" si="14"/>
        <v/>
      </c>
      <c r="T59" s="7" t="str">
        <f t="shared" si="15"/>
        <v/>
      </c>
      <c r="U59" s="7"/>
      <c r="V59" s="4">
        <f t="shared" si="16"/>
        <v>0</v>
      </c>
      <c r="W59" s="5" t="str">
        <f t="shared" si="17"/>
        <v/>
      </c>
      <c r="X59" s="4">
        <f t="shared" si="18"/>
        <v>0</v>
      </c>
      <c r="Y59" s="3"/>
    </row>
    <row r="60" spans="1:25" ht="18.95" customHeight="1" x14ac:dyDescent="0.25">
      <c r="A60" s="9"/>
      <c r="B60" s="8"/>
      <c r="C60" s="8"/>
      <c r="D60" s="4"/>
      <c r="E60" s="4"/>
      <c r="F60" s="4"/>
      <c r="G60" s="4"/>
      <c r="H60" s="4"/>
      <c r="I60" s="5" t="str">
        <f t="shared" si="11"/>
        <v/>
      </c>
      <c r="J60" s="5" t="str">
        <f t="shared" si="12"/>
        <v/>
      </c>
      <c r="K60" s="4"/>
      <c r="L60" s="4"/>
      <c r="M60" s="4"/>
      <c r="N60" s="6"/>
      <c r="O60" s="6"/>
      <c r="P60" s="6"/>
      <c r="Q60" s="6"/>
      <c r="R60" s="6"/>
      <c r="S60" s="6" t="str">
        <f t="shared" si="14"/>
        <v/>
      </c>
      <c r="T60" s="7" t="str">
        <f t="shared" si="15"/>
        <v/>
      </c>
      <c r="U60" s="7"/>
      <c r="V60" s="4">
        <f t="shared" si="16"/>
        <v>0</v>
      </c>
      <c r="W60" s="5" t="str">
        <f t="shared" si="17"/>
        <v/>
      </c>
      <c r="X60" s="4">
        <f t="shared" si="18"/>
        <v>0</v>
      </c>
      <c r="Y60" s="3"/>
    </row>
    <row r="61" spans="1:25" ht="18.95" customHeight="1" x14ac:dyDescent="0.25">
      <c r="A61" s="9"/>
      <c r="B61" s="8"/>
      <c r="C61" s="8"/>
      <c r="D61" s="4"/>
      <c r="E61" s="4"/>
      <c r="F61" s="4"/>
      <c r="G61" s="4"/>
      <c r="H61" s="4"/>
      <c r="I61" s="5" t="str">
        <f t="shared" si="11"/>
        <v/>
      </c>
      <c r="J61" s="5" t="str">
        <f t="shared" si="12"/>
        <v/>
      </c>
      <c r="K61" s="4"/>
      <c r="L61" s="4"/>
      <c r="M61" s="4"/>
      <c r="N61" s="6"/>
      <c r="O61" s="6"/>
      <c r="P61" s="6"/>
      <c r="Q61" s="6"/>
      <c r="R61" s="6"/>
      <c r="S61" s="6" t="str">
        <f t="shared" si="14"/>
        <v/>
      </c>
      <c r="T61" s="7" t="str">
        <f t="shared" si="15"/>
        <v/>
      </c>
      <c r="U61" s="7"/>
      <c r="V61" s="4">
        <f t="shared" si="16"/>
        <v>0</v>
      </c>
      <c r="W61" s="5" t="str">
        <f t="shared" si="17"/>
        <v/>
      </c>
      <c r="X61" s="4">
        <f t="shared" si="18"/>
        <v>0</v>
      </c>
      <c r="Y61" s="3"/>
    </row>
    <row r="62" spans="1:25" ht="18.95" customHeight="1" x14ac:dyDescent="0.25">
      <c r="A62" s="9"/>
      <c r="B62" s="8"/>
      <c r="C62" s="8"/>
      <c r="D62" s="4"/>
      <c r="E62" s="4"/>
      <c r="F62" s="4"/>
      <c r="G62" s="4"/>
      <c r="H62" s="4"/>
      <c r="I62" s="5" t="str">
        <f t="shared" si="11"/>
        <v/>
      </c>
      <c r="J62" s="5" t="str">
        <f t="shared" si="12"/>
        <v/>
      </c>
      <c r="K62" s="4"/>
      <c r="L62" s="4"/>
      <c r="M62" s="4"/>
      <c r="N62" s="6"/>
      <c r="O62" s="6"/>
      <c r="P62" s="6"/>
      <c r="Q62" s="6"/>
      <c r="R62" s="6"/>
      <c r="S62" s="6" t="str">
        <f t="shared" si="14"/>
        <v/>
      </c>
      <c r="T62" s="7" t="str">
        <f t="shared" si="15"/>
        <v/>
      </c>
      <c r="U62" s="7"/>
      <c r="V62" s="4">
        <f t="shared" si="16"/>
        <v>0</v>
      </c>
      <c r="W62" s="5" t="str">
        <f t="shared" si="17"/>
        <v/>
      </c>
      <c r="X62" s="4">
        <f t="shared" si="18"/>
        <v>0</v>
      </c>
      <c r="Y62" s="3"/>
    </row>
    <row r="63" spans="1:25" ht="18.95" customHeight="1" x14ac:dyDescent="0.25">
      <c r="A63" s="9"/>
      <c r="B63" s="8"/>
      <c r="C63" s="8"/>
      <c r="D63" s="4"/>
      <c r="E63" s="4"/>
      <c r="F63" s="4"/>
      <c r="G63" s="4"/>
      <c r="H63" s="4"/>
      <c r="I63" s="5" t="str">
        <f t="shared" si="11"/>
        <v/>
      </c>
      <c r="J63" s="5" t="str">
        <f t="shared" si="12"/>
        <v/>
      </c>
      <c r="K63" s="4"/>
      <c r="L63" s="4"/>
      <c r="M63" s="4"/>
      <c r="N63" s="6"/>
      <c r="O63" s="6"/>
      <c r="P63" s="6"/>
      <c r="Q63" s="6"/>
      <c r="R63" s="6"/>
      <c r="S63" s="6" t="str">
        <f t="shared" si="14"/>
        <v/>
      </c>
      <c r="T63" s="7" t="str">
        <f t="shared" si="15"/>
        <v/>
      </c>
      <c r="U63" s="7"/>
      <c r="V63" s="4">
        <f t="shared" si="16"/>
        <v>0</v>
      </c>
      <c r="W63" s="5" t="str">
        <f t="shared" si="17"/>
        <v/>
      </c>
      <c r="X63" s="4">
        <f t="shared" si="18"/>
        <v>0</v>
      </c>
      <c r="Y63" s="3"/>
    </row>
    <row r="64" spans="1:25" ht="18.95" customHeight="1" x14ac:dyDescent="0.25">
      <c r="A64" s="9"/>
      <c r="B64" s="8"/>
      <c r="C64" s="8"/>
      <c r="D64" s="4"/>
      <c r="E64" s="4"/>
      <c r="F64" s="4"/>
      <c r="G64" s="4"/>
      <c r="H64" s="4"/>
      <c r="I64" s="5" t="str">
        <f t="shared" si="11"/>
        <v/>
      </c>
      <c r="J64" s="5" t="str">
        <f t="shared" si="12"/>
        <v/>
      </c>
      <c r="K64" s="4"/>
      <c r="L64" s="4"/>
      <c r="M64" s="4"/>
      <c r="N64" s="6"/>
      <c r="O64" s="6"/>
      <c r="P64" s="6"/>
      <c r="Q64" s="6"/>
      <c r="R64" s="6"/>
      <c r="S64" s="6" t="str">
        <f t="shared" si="14"/>
        <v/>
      </c>
      <c r="T64" s="7" t="str">
        <f t="shared" si="15"/>
        <v/>
      </c>
      <c r="U64" s="7"/>
      <c r="V64" s="4">
        <f t="shared" si="16"/>
        <v>0</v>
      </c>
      <c r="W64" s="5" t="str">
        <f t="shared" si="17"/>
        <v/>
      </c>
      <c r="X64" s="4">
        <f t="shared" si="18"/>
        <v>0</v>
      </c>
      <c r="Y64" s="3"/>
    </row>
    <row r="65" spans="1:25" ht="18.95" customHeight="1" x14ac:dyDescent="0.25">
      <c r="A65" s="9"/>
      <c r="B65" s="8"/>
      <c r="C65" s="8"/>
      <c r="D65" s="4"/>
      <c r="E65" s="4"/>
      <c r="F65" s="4"/>
      <c r="G65" s="4"/>
      <c r="H65" s="4"/>
      <c r="I65" s="5" t="str">
        <f t="shared" si="11"/>
        <v/>
      </c>
      <c r="J65" s="5" t="str">
        <f t="shared" si="12"/>
        <v/>
      </c>
      <c r="K65" s="4"/>
      <c r="L65" s="4"/>
      <c r="M65" s="4"/>
      <c r="N65" s="6"/>
      <c r="O65" s="6"/>
      <c r="P65" s="6"/>
      <c r="Q65" s="6"/>
      <c r="R65" s="6"/>
      <c r="S65" s="6" t="str">
        <f t="shared" si="14"/>
        <v/>
      </c>
      <c r="T65" s="7" t="str">
        <f t="shared" si="15"/>
        <v/>
      </c>
      <c r="U65" s="7"/>
      <c r="V65" s="4">
        <f t="shared" si="16"/>
        <v>0</v>
      </c>
      <c r="W65" s="5" t="str">
        <f t="shared" si="17"/>
        <v/>
      </c>
      <c r="X65" s="4">
        <f t="shared" si="18"/>
        <v>0</v>
      </c>
      <c r="Y65" s="3"/>
    </row>
    <row r="66" spans="1:25" ht="18.95" customHeight="1" x14ac:dyDescent="0.25">
      <c r="A66" s="9"/>
      <c r="B66" s="8"/>
      <c r="C66" s="8"/>
      <c r="D66" s="4"/>
      <c r="E66" s="4"/>
      <c r="F66" s="4"/>
      <c r="G66" s="4"/>
      <c r="H66" s="4"/>
      <c r="I66" s="5" t="str">
        <f t="shared" ref="I66:I69" si="19">IFERROR(D66/H66,"")</f>
        <v/>
      </c>
      <c r="J66" s="5" t="str">
        <f t="shared" si="12"/>
        <v/>
      </c>
      <c r="K66" s="4"/>
      <c r="L66" s="4"/>
      <c r="M66" s="4"/>
      <c r="N66" s="6"/>
      <c r="O66" s="6"/>
      <c r="P66" s="6"/>
      <c r="Q66" s="6"/>
      <c r="R66" s="6"/>
      <c r="S66" s="6" t="str">
        <f t="shared" si="14"/>
        <v/>
      </c>
      <c r="T66" s="7" t="str">
        <f t="shared" si="15"/>
        <v/>
      </c>
      <c r="U66" s="7"/>
      <c r="V66" s="4">
        <f t="shared" si="16"/>
        <v>0</v>
      </c>
      <c r="W66" s="5" t="str">
        <f t="shared" si="17"/>
        <v/>
      </c>
      <c r="X66" s="4">
        <f t="shared" si="18"/>
        <v>0</v>
      </c>
      <c r="Y66" s="3"/>
    </row>
    <row r="67" spans="1:25" ht="18.95" customHeight="1" x14ac:dyDescent="0.25">
      <c r="A67" s="9"/>
      <c r="B67" s="8"/>
      <c r="C67" s="8"/>
      <c r="D67" s="4"/>
      <c r="E67" s="4"/>
      <c r="F67" s="4"/>
      <c r="G67" s="4"/>
      <c r="H67" s="4"/>
      <c r="I67" s="5" t="str">
        <f t="shared" si="19"/>
        <v/>
      </c>
      <c r="J67" s="5" t="str">
        <f t="shared" si="12"/>
        <v/>
      </c>
      <c r="K67" s="4"/>
      <c r="L67" s="4"/>
      <c r="M67" s="4"/>
      <c r="N67" s="6"/>
      <c r="O67" s="6"/>
      <c r="P67" s="6"/>
      <c r="Q67" s="6"/>
      <c r="R67" s="6"/>
      <c r="S67" s="6" t="str">
        <f t="shared" si="14"/>
        <v/>
      </c>
      <c r="T67" s="7" t="str">
        <f t="shared" si="15"/>
        <v/>
      </c>
      <c r="U67" s="7"/>
      <c r="V67" s="4">
        <f t="shared" si="16"/>
        <v>0</v>
      </c>
      <c r="W67" s="5" t="str">
        <f t="shared" si="17"/>
        <v/>
      </c>
      <c r="X67" s="4">
        <f t="shared" si="18"/>
        <v>0</v>
      </c>
      <c r="Y67" s="3"/>
    </row>
    <row r="68" spans="1:25" ht="18.95" customHeight="1" x14ac:dyDescent="0.25">
      <c r="A68" s="9"/>
      <c r="B68" s="8"/>
      <c r="C68" s="8"/>
      <c r="D68" s="4"/>
      <c r="E68" s="4"/>
      <c r="F68" s="4"/>
      <c r="G68" s="4"/>
      <c r="H68" s="4"/>
      <c r="I68" s="5" t="str">
        <f t="shared" si="19"/>
        <v/>
      </c>
      <c r="J68" s="5" t="str">
        <f t="shared" si="12"/>
        <v/>
      </c>
      <c r="K68" s="4"/>
      <c r="L68" s="4"/>
      <c r="M68" s="4"/>
      <c r="N68" s="6"/>
      <c r="O68" s="6"/>
      <c r="P68" s="6"/>
      <c r="Q68" s="6"/>
      <c r="R68" s="6"/>
      <c r="S68" s="6" t="str">
        <f t="shared" si="14"/>
        <v/>
      </c>
      <c r="T68" s="7" t="str">
        <f t="shared" si="15"/>
        <v/>
      </c>
      <c r="U68" s="7"/>
      <c r="V68" s="4">
        <f t="shared" si="16"/>
        <v>0</v>
      </c>
      <c r="W68" s="5" t="str">
        <f t="shared" si="17"/>
        <v/>
      </c>
      <c r="X68" s="4">
        <f t="shared" si="18"/>
        <v>0</v>
      </c>
      <c r="Y68" s="3"/>
    </row>
    <row r="69" spans="1:25" ht="18.95" customHeight="1" x14ac:dyDescent="0.25">
      <c r="A69" s="9"/>
      <c r="B69" s="8"/>
      <c r="C69" s="8"/>
      <c r="D69" s="4"/>
      <c r="E69" s="4"/>
      <c r="F69" s="4"/>
      <c r="G69" s="4"/>
      <c r="H69" s="4"/>
      <c r="I69" s="5" t="str">
        <f t="shared" si="19"/>
        <v/>
      </c>
      <c r="J69" s="5" t="str">
        <f t="shared" si="12"/>
        <v/>
      </c>
      <c r="K69" s="4"/>
      <c r="L69" s="4"/>
      <c r="M69" s="4"/>
      <c r="N69" s="6"/>
      <c r="O69" s="6"/>
      <c r="P69" s="6"/>
      <c r="Q69" s="6"/>
      <c r="R69" s="6"/>
      <c r="S69" s="6" t="str">
        <f t="shared" si="14"/>
        <v/>
      </c>
      <c r="T69" s="7" t="str">
        <f t="shared" si="15"/>
        <v/>
      </c>
      <c r="U69" s="7"/>
      <c r="V69" s="4">
        <f t="shared" si="16"/>
        <v>0</v>
      </c>
      <c r="W69" s="5" t="str">
        <f t="shared" si="17"/>
        <v/>
      </c>
      <c r="X69" s="4">
        <f t="shared" si="18"/>
        <v>0</v>
      </c>
      <c r="Y69" s="3"/>
    </row>
    <row r="72" spans="1:25" ht="33.950000000000003" customHeight="1" x14ac:dyDescent="0.25">
      <c r="A72" s="251" t="s">
        <v>110</v>
      </c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</row>
    <row r="75" spans="1:25" ht="24" customHeight="1" x14ac:dyDescent="0.25">
      <c r="A75" s="252" t="s">
        <v>111</v>
      </c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</row>
    <row r="76" spans="1:25" ht="38.1" customHeight="1" x14ac:dyDescent="0.25">
      <c r="A76" s="59" t="s">
        <v>41</v>
      </c>
      <c r="B76" s="59" t="s">
        <v>10</v>
      </c>
      <c r="C76" s="59" t="s">
        <v>11</v>
      </c>
      <c r="D76" s="59" t="s">
        <v>12</v>
      </c>
      <c r="E76" s="59" t="s">
        <v>14</v>
      </c>
      <c r="F76" s="59" t="s">
        <v>13</v>
      </c>
      <c r="G76" s="59" t="s">
        <v>15</v>
      </c>
      <c r="H76" s="59" t="s">
        <v>18</v>
      </c>
      <c r="I76" s="59" t="s">
        <v>19</v>
      </c>
      <c r="J76" s="59" t="s">
        <v>20</v>
      </c>
      <c r="K76" s="59" t="s">
        <v>16</v>
      </c>
      <c r="L76" s="59" t="s">
        <v>17</v>
      </c>
      <c r="M76" s="59" t="s">
        <v>59</v>
      </c>
      <c r="N76" s="59" t="s">
        <v>60</v>
      </c>
      <c r="O76" s="59" t="s">
        <v>61</v>
      </c>
      <c r="P76" s="59" t="s">
        <v>62</v>
      </c>
      <c r="Q76" s="59" t="s">
        <v>3</v>
      </c>
    </row>
    <row r="77" spans="1:25" ht="18.95" customHeight="1" x14ac:dyDescent="0.25">
      <c r="A77" s="60">
        <v>2021</v>
      </c>
      <c r="B77" s="63">
        <f>IF(Entwicklung!$B$4="Gesamtportfolio",SUMIFS(Dashboard_Daten!$V$2:$V$70,Dashboard_Daten!$A$2:$A$70,$A77),IF(COUNTIFS(Dashboard_Daten!$A$2:$A$70,$A77,Dashboard_Daten!$C$2:$C$70,Entwicklung!$B$4)=0,"",SUMIFS(Dashboard_Daten!$V$2:$V$70,Dashboard_Daten!$A$2:$A$70,$A77,Dashboard_Daten!$C$2:$C$70,Entwicklung!$B$4)))</f>
        <v>-9900.1549028872905</v>
      </c>
      <c r="C77" s="63">
        <f>IF(Entwicklung!$B$4="Gesamtportfolio",SUMIFS(Dashboard_Daten!$X$2:$X$70,Dashboard_Daten!$A$2:$A$70,$A77),IF(COUNTIFS(Dashboard_Daten!$A$2:$A$70,$A77,Dashboard_Daten!$C$2:$C$70,Entwicklung!$B$4)=0,"",SUMIFS(Dashboard_Daten!$X$2:$X$70,Dashboard_Daten!$A$2:$A$70,$A77,Dashboard_Daten!$C$2:$C$70,Entwicklung!$B$4)))</f>
        <v>674881.80195492832</v>
      </c>
      <c r="D77" s="63">
        <f>IF(Entwicklung!$B$4="Gesamtportfolio",SUMIFS(Dashboard_Daten!$M$2:$M$70,Dashboard_Daten!$A$2:$A$70,$A77),IF(COUNTIFS(Dashboard_Daten!$A$2:$A$70,$A77,Dashboard_Daten!$C$2:$C$70,Entwicklung!$B$4)=0,"",SUMIFS(Dashboard_Daten!$M$2:$M$70,Dashboard_Daten!$A$2:$A$70,$A77,Dashboard_Daten!$C$2:$C$70,Entwicklung!$B$4)))</f>
        <v>684781.95685781573</v>
      </c>
      <c r="E77" s="66">
        <f>IF(Entwicklung!$B$4="Gesamtportfolio",SUMIFS(Dashboard_Daten!$O$2:$O$70,Dashboard_Daten!$A$2:$A$70,$A77),IF(COUNTIFS(Dashboard_Daten!$A$2:$A$70,$A77,Dashboard_Daten!$C$2:$C$70,Entwicklung!$B$4)=0,"",SUMIFS(Dashboard_Daten!$O$2:$O$70,Dashboard_Daten!$A$2:$A$70,$A77,Dashboard_Daten!$C$2:$C$70,Entwicklung!$B$4)))</f>
        <v>85991.357313812361</v>
      </c>
      <c r="F77" s="66">
        <f>IF(Entwicklung!$B$4="Gesamtportfolio",SUMIFS(Dashboard_Daten!$R$2:$R$70,Dashboard_Daten!$A$2:$A$70,$A77),IF(COUNTIFS(Dashboard_Daten!$A$2:$A$70,$A77,Dashboard_Daten!$C$2:$C$70,Entwicklung!$B$4)=0,"",SUMIFS(Dashboard_Daten!$R$2:$R$70,Dashboard_Daten!$A$2:$A$70,$A77,Dashboard_Daten!$C$2:$C$70,Entwicklung!$B$4)))</f>
        <v>49518</v>
      </c>
      <c r="G77" s="69">
        <f t="shared" ref="G77:G82" si="20">IFERROR(F77/E77,"")</f>
        <v>0.57584856835427778</v>
      </c>
      <c r="H77" s="63">
        <f>IF(Entwicklung!$B$4="Gesamtportfolio",SUMIFS(Dashboard_Daten!$D$2:$D$70,Dashboard_Daten!$A$2:$A$70,$A77),IF(COUNTIFS(Dashboard_Daten!$A$2:$A$70,$A77,Dashboard_Daten!$C$2:$C$70,Entwicklung!$B$4)=0,"",SUMIFS(Dashboard_Daten!$D$2:$D$70,Dashboard_Daten!$A$2:$A$70,$A77,Dashboard_Daten!$C$2:$C$70,Entwicklung!$B$4)))</f>
        <v>664492.33000000007</v>
      </c>
      <c r="I77" s="63">
        <f>IF(Entwicklung!$B$4="Gesamtportfolio",SUMIFS(Dashboard_Daten!$K$2:$K$70,Dashboard_Daten!$A$2:$A$70,$A77),IF(COUNTIFS(Dashboard_Daten!$A$2:$A$70,$A77,Dashboard_Daten!$C$2:$C$70,Entwicklung!$B$4)=0,"",SUMIFS(Dashboard_Daten!$K$2:$K$70,Dashboard_Daten!$A$2:$A$70,$A77,Dashboard_Daten!$C$2:$C$70,Entwicklung!$B$4)))</f>
        <v>20289.626857815707</v>
      </c>
      <c r="J77" s="63">
        <f>IF(Entwicklung!$B$4="Gesamtportfolio",SUMIFS(Dashboard_Daten!$L$2:$L$70,Dashboard_Daten!$A$2:$A$70,$A77),IF(COUNTIFS(Dashboard_Daten!$A$2:$A$70,$A77,Dashboard_Daten!$C$2:$C$70,Entwicklung!$B$4)=0,"",SUMIFS(Dashboard_Daten!$L$2:$L$70,Dashboard_Daten!$A$2:$A$70,$A77,Dashboard_Daten!$C$2:$C$70,Entwicklung!$B$4)))</f>
        <v>0</v>
      </c>
      <c r="K77" s="63">
        <f t="shared" ref="K77:K82" si="21">IFERROR(D77/F77,"")</f>
        <v>13.828950217250611</v>
      </c>
      <c r="L77" s="63">
        <f>IF(Entwicklung!$B$4="Gesamtportfolio",IFERROR(SUMIFS(Dashboard_Daten!$U$2:$U$70,Dashboard_Daten!$A$2:$A$70,$A77)/COUNTIFS(Dashboard_Daten!$A$2:$A$70,$A77),""),IF(COUNTIFS(Dashboard_Daten!$A$2:$A$70,$A77,Dashboard_Daten!$C$2:$C$70,Entwicklung!$B$4)=0,"",SUMIFS(Dashboard_Daten!$U$2:$U$70,Dashboard_Daten!$A$2:$A$70,$A77,Dashboard_Daten!$C$2:$C$70,Entwicklung!$B$4)/COUNTIFS(Dashboard_Daten!$A$2:$A$70,$A77,Dashboard_Daten!$C$2:$C$70,Entwicklung!$B$4)))</f>
        <v>13.629019789872945</v>
      </c>
      <c r="M77" s="63">
        <f>SUMIFS(Dashboard_Daten!$V$2:$V$70,Dashboard_Daten!$A$2:$A$70,$A77)</f>
        <v>-9900.1549028872905</v>
      </c>
      <c r="N77" s="60">
        <f>COUNTIFS(Dashboard_Daten!$A$2:$A$70,$A77,Dashboard_Daten!$V$2:$V$70,"&lt;0")</f>
        <v>5</v>
      </c>
      <c r="O77" s="60">
        <f>COUNTIFS(Dashboard_Daten!$A$2:$A$70,$A77,Dashboard_Daten!$V$2:$V$70,"&gt;=0")</f>
        <v>5</v>
      </c>
      <c r="P77" s="60">
        <f>COUNTIFS(Dashboard_Daten!$A$2:$A$70,$A77,Dashboard_Daten!$C$2:$C$70,"&lt;&gt;")</f>
        <v>10</v>
      </c>
      <c r="Q77" s="72" t="str">
        <f t="shared" ref="Q77:Q82" si="22">IF($A77=2026,"Hochrechnung","Jahresabschluss")</f>
        <v>Jahresabschluss</v>
      </c>
    </row>
    <row r="78" spans="1:25" ht="18.95" customHeight="1" x14ac:dyDescent="0.25">
      <c r="A78" s="61">
        <v>2022</v>
      </c>
      <c r="B78" s="64">
        <f>IF(Entwicklung!$B$4="Gesamtportfolio",SUMIFS(Dashboard_Daten!$V$2:$V$70,Dashboard_Daten!$A$2:$A$70,$A78),IF(COUNTIFS(Dashboard_Daten!$A$2:$A$70,$A78,Dashboard_Daten!$C$2:$C$70,Entwicklung!$B$4)=0,"",SUMIFS(Dashboard_Daten!$V$2:$V$70,Dashboard_Daten!$A$2:$A$70,$A78,Dashboard_Daten!$C$2:$C$70,Entwicklung!$B$4)))</f>
        <v>-24985.198358092723</v>
      </c>
      <c r="C78" s="64">
        <f>IF(Entwicklung!$B$4="Gesamtportfolio",SUMIFS(Dashboard_Daten!$X$2:$X$70,Dashboard_Daten!$A$2:$A$70,$A78),IF(COUNTIFS(Dashboard_Daten!$A$2:$A$70,$A78,Dashboard_Daten!$C$2:$C$70,Entwicklung!$B$4)=0,"",SUMIFS(Dashboard_Daten!$X$2:$X$70,Dashboard_Daten!$A$2:$A$70,$A78,Dashboard_Daten!$C$2:$C$70,Entwicklung!$B$4)))</f>
        <v>693365.68159974529</v>
      </c>
      <c r="D78" s="64">
        <f>IF(Entwicklung!$B$4="Gesamtportfolio",SUMIFS(Dashboard_Daten!$M$2:$M$70,Dashboard_Daten!$A$2:$A$70,$A78),IF(COUNTIFS(Dashboard_Daten!$A$2:$A$70,$A78,Dashboard_Daten!$C$2:$C$70,Entwicklung!$B$4)=0,"",SUMIFS(Dashboard_Daten!$M$2:$M$70,Dashboard_Daten!$A$2:$A$70,$A78,Dashboard_Daten!$C$2:$C$70,Entwicklung!$B$4)))</f>
        <v>718350.87995783798</v>
      </c>
      <c r="E78" s="67">
        <f>IF(Entwicklung!$B$4="Gesamtportfolio",SUMIFS(Dashboard_Daten!$O$2:$O$70,Dashboard_Daten!$A$2:$A$70,$A78),IF(COUNTIFS(Dashboard_Daten!$A$2:$A$70,$A78,Dashboard_Daten!$C$2:$C$70,Entwicklung!$B$4)=0,"",SUMIFS(Dashboard_Daten!$O$2:$O$70,Dashboard_Daten!$A$2:$A$70,$A78,Dashboard_Daten!$C$2:$C$70,Entwicklung!$B$4)))</f>
        <v>96580.0572704714</v>
      </c>
      <c r="F78" s="67">
        <f>IF(Entwicklung!$B$4="Gesamtportfolio",SUMIFS(Dashboard_Daten!$R$2:$R$70,Dashboard_Daten!$A$2:$A$70,$A78),IF(COUNTIFS(Dashboard_Daten!$A$2:$A$70,$A78,Dashboard_Daten!$C$2:$C$70,Entwicklung!$B$4)=0,"",SUMIFS(Dashboard_Daten!$R$2:$R$70,Dashboard_Daten!$A$2:$A$70,$A78,Dashboard_Daten!$C$2:$C$70,Entwicklung!$B$4)))</f>
        <v>51119</v>
      </c>
      <c r="G78" s="70">
        <f t="shared" si="20"/>
        <v>0.52929146497440771</v>
      </c>
      <c r="H78" s="64">
        <f>IF(Entwicklung!$B$4="Gesamtportfolio",SUMIFS(Dashboard_Daten!$D$2:$D$70,Dashboard_Daten!$A$2:$A$70,$A78),IF(COUNTIFS(Dashboard_Daten!$A$2:$A$70,$A78,Dashboard_Daten!$C$2:$C$70,Entwicklung!$B$4)=0,"",SUMIFS(Dashboard_Daten!$D$2:$D$70,Dashboard_Daten!$A$2:$A$70,$A78,Dashboard_Daten!$C$2:$C$70,Entwicklung!$B$4)))</f>
        <v>679873.38</v>
      </c>
      <c r="I78" s="64">
        <f>IF(Entwicklung!$B$4="Gesamtportfolio",SUMIFS(Dashboard_Daten!$K$2:$K$70,Dashboard_Daten!$A$2:$A$70,$A78),IF(COUNTIFS(Dashboard_Daten!$A$2:$A$70,$A78,Dashboard_Daten!$C$2:$C$70,Entwicklung!$B$4)=0,"",SUMIFS(Dashboard_Daten!$K$2:$K$70,Dashboard_Daten!$A$2:$A$70,$A78,Dashboard_Daten!$C$2:$C$70,Entwicklung!$B$4)))</f>
        <v>38477.499957837987</v>
      </c>
      <c r="J78" s="64">
        <f>IF(Entwicklung!$B$4="Gesamtportfolio",SUMIFS(Dashboard_Daten!$L$2:$L$70,Dashboard_Daten!$A$2:$A$70,$A78),IF(COUNTIFS(Dashboard_Daten!$A$2:$A$70,$A78,Dashboard_Daten!$C$2:$C$70,Entwicklung!$B$4)=0,"",SUMIFS(Dashboard_Daten!$L$2:$L$70,Dashboard_Daten!$A$2:$A$70,$A78,Dashboard_Daten!$C$2:$C$70,Entwicklung!$B$4)))</f>
        <v>0</v>
      </c>
      <c r="K78" s="64">
        <f t="shared" si="21"/>
        <v>14.052522153364462</v>
      </c>
      <c r="L78" s="64">
        <f>IF(Entwicklung!$B$4="Gesamtportfolio",IFERROR(SUMIFS(Dashboard_Daten!$U$2:$U$70,Dashboard_Daten!$A$2:$A$70,$A78)/COUNTIFS(Dashboard_Daten!$A$2:$A$70,$A78),""),IF(COUNTIFS(Dashboard_Daten!$A$2:$A$70,$A78,Dashboard_Daten!$C$2:$C$70,Entwicklung!$B$4)=0,"",SUMIFS(Dashboard_Daten!$U$2:$U$70,Dashboard_Daten!$A$2:$A$70,$A78,Dashboard_Daten!$C$2:$C$70,Entwicklung!$B$4)/COUNTIFS(Dashboard_Daten!$A$2:$A$70,$A78,Dashboard_Daten!$C$2:$C$70,Entwicklung!$B$4)))</f>
        <v>13.5637567558001</v>
      </c>
      <c r="M78" s="64">
        <f>SUMIFS(Dashboard_Daten!$V$2:$V$70,Dashboard_Daten!$A$2:$A$70,$A78)</f>
        <v>-24985.198358092723</v>
      </c>
      <c r="N78" s="61">
        <f>COUNTIFS(Dashboard_Daten!$A$2:$A$70,$A78,Dashboard_Daten!$V$2:$V$70,"&lt;0")</f>
        <v>4</v>
      </c>
      <c r="O78" s="61">
        <f>COUNTIFS(Dashboard_Daten!$A$2:$A$70,$A78,Dashboard_Daten!$V$2:$V$70,"&gt;=0")</f>
        <v>6</v>
      </c>
      <c r="P78" s="61">
        <f>COUNTIFS(Dashboard_Daten!$A$2:$A$70,$A78,Dashboard_Daten!$C$2:$C$70,"&lt;&gt;")</f>
        <v>10</v>
      </c>
      <c r="Q78" s="73" t="str">
        <f t="shared" si="22"/>
        <v>Jahresabschluss</v>
      </c>
    </row>
    <row r="79" spans="1:25" ht="18.95" customHeight="1" x14ac:dyDescent="0.25">
      <c r="A79" s="61">
        <v>2023</v>
      </c>
      <c r="B79" s="64">
        <f>IF(Entwicklung!$B$4="Gesamtportfolio",SUMIFS(Dashboard_Daten!$V$2:$V$70,Dashboard_Daten!$A$2:$A$70,$A79),IF(COUNTIFS(Dashboard_Daten!$A$2:$A$70,$A79,Dashboard_Daten!$C$2:$C$70,Entwicklung!$B$4)=0,"",SUMIFS(Dashboard_Daten!$V$2:$V$70,Dashboard_Daten!$A$2:$A$70,$A79,Dashboard_Daten!$C$2:$C$70,Entwicklung!$B$4)))</f>
        <v>-114738.37811822168</v>
      </c>
      <c r="C79" s="64">
        <f>IF(Entwicklung!$B$4="Gesamtportfolio",SUMIFS(Dashboard_Daten!$X$2:$X$70,Dashboard_Daten!$A$2:$A$70,$A79),IF(COUNTIFS(Dashboard_Daten!$A$2:$A$70,$A79,Dashboard_Daten!$C$2:$C$70,Entwicklung!$B$4)=0,"",SUMIFS(Dashboard_Daten!$X$2:$X$70,Dashboard_Daten!$A$2:$A$70,$A79,Dashboard_Daten!$C$2:$C$70,Entwicklung!$B$4)))</f>
        <v>684312.66188177839</v>
      </c>
      <c r="D79" s="64">
        <f>IF(Entwicklung!$B$4="Gesamtportfolio",SUMIFS(Dashboard_Daten!$M$2:$M$70,Dashboard_Daten!$A$2:$A$70,$A79),IF(COUNTIFS(Dashboard_Daten!$A$2:$A$70,$A79,Dashboard_Daten!$C$2:$C$70,Entwicklung!$B$4)=0,"",SUMIFS(Dashboard_Daten!$M$2:$M$70,Dashboard_Daten!$A$2:$A$70,$A79,Dashboard_Daten!$C$2:$C$70,Entwicklung!$B$4)))</f>
        <v>799051.04</v>
      </c>
      <c r="E79" s="67">
        <f>IF(Entwicklung!$B$4="Gesamtportfolio",SUMIFS(Dashboard_Daten!$O$2:$O$70,Dashboard_Daten!$A$2:$A$70,$A79),IF(COUNTIFS(Dashboard_Daten!$A$2:$A$70,$A79,Dashboard_Daten!$C$2:$C$70,Entwicklung!$B$4)=0,"",SUMIFS(Dashboard_Daten!$O$2:$O$70,Dashboard_Daten!$A$2:$A$70,$A79,Dashboard_Daten!$C$2:$C$70,Entwicklung!$B$4)))</f>
        <v>110048.58344109228</v>
      </c>
      <c r="F79" s="67">
        <f>IF(Entwicklung!$B$4="Gesamtportfolio",SUMIFS(Dashboard_Daten!$R$2:$R$70,Dashboard_Daten!$A$2:$A$70,$A79),IF(COUNTIFS(Dashboard_Daten!$A$2:$A$70,$A79,Dashboard_Daten!$C$2:$C$70,Entwicklung!$B$4)=0,"",SUMIFS(Dashboard_Daten!$R$2:$R$70,Dashboard_Daten!$A$2:$A$70,$A79,Dashboard_Daten!$C$2:$C$70,Entwicklung!$B$4)))</f>
        <v>54378</v>
      </c>
      <c r="G79" s="70">
        <f t="shared" si="20"/>
        <v>0.49412721454163838</v>
      </c>
      <c r="H79" s="64">
        <f>IF(Entwicklung!$B$4="Gesamtportfolio",SUMIFS(Dashboard_Daten!$D$2:$D$70,Dashboard_Daten!$A$2:$A$70,$A79),IF(COUNTIFS(Dashboard_Daten!$A$2:$A$70,$A79,Dashboard_Daten!$C$2:$C$70,Entwicklung!$B$4)=0,"",SUMIFS(Dashboard_Daten!$D$2:$D$70,Dashboard_Daten!$A$2:$A$70,$A79,Dashboard_Daten!$C$2:$C$70,Entwicklung!$B$4)))</f>
        <v>779006.04</v>
      </c>
      <c r="I79" s="64">
        <f>IF(Entwicklung!$B$4="Gesamtportfolio",SUMIFS(Dashboard_Daten!$K$2:$K$70,Dashboard_Daten!$A$2:$A$70,$A79),IF(COUNTIFS(Dashboard_Daten!$A$2:$A$70,$A79,Dashboard_Daten!$C$2:$C$70,Entwicklung!$B$4)=0,"",SUMIFS(Dashboard_Daten!$K$2:$K$70,Dashboard_Daten!$A$2:$A$70,$A79,Dashboard_Daten!$C$2:$C$70,Entwicklung!$B$4)))</f>
        <v>20045</v>
      </c>
      <c r="J79" s="64">
        <f>IF(Entwicklung!$B$4="Gesamtportfolio",SUMIFS(Dashboard_Daten!$L$2:$L$70,Dashboard_Daten!$A$2:$A$70,$A79),IF(COUNTIFS(Dashboard_Daten!$A$2:$A$70,$A79,Dashboard_Daten!$C$2:$C$70,Entwicklung!$B$4)=0,"",SUMIFS(Dashboard_Daten!$L$2:$L$70,Dashboard_Daten!$A$2:$A$70,$A79,Dashboard_Daten!$C$2:$C$70,Entwicklung!$B$4)))</f>
        <v>0</v>
      </c>
      <c r="K79" s="64">
        <f t="shared" si="21"/>
        <v>14.694380815771085</v>
      </c>
      <c r="L79" s="64">
        <f>IF(Entwicklung!$B$4="Gesamtportfolio",IFERROR(SUMIFS(Dashboard_Daten!$U$2:$U$70,Dashboard_Daten!$A$2:$A$70,$A79)/COUNTIFS(Dashboard_Daten!$A$2:$A$70,$A79),""),IF(COUNTIFS(Dashboard_Daten!$A$2:$A$70,$A79,Dashboard_Daten!$C$2:$C$70,Entwicklung!$B$4)=0,"",SUMIFS(Dashboard_Daten!$U$2:$U$70,Dashboard_Daten!$A$2:$A$70,$A79,Dashboard_Daten!$C$2:$C$70,Entwicklung!$B$4)/COUNTIFS(Dashboard_Daten!$A$2:$A$70,$A79,Dashboard_Daten!$C$2:$C$70,Entwicklung!$B$4)))</f>
        <v>12.584366138544599</v>
      </c>
      <c r="M79" s="64">
        <f>SUMIFS(Dashboard_Daten!$V$2:$V$70,Dashboard_Daten!$A$2:$A$70,$A79)</f>
        <v>-114738.37811822168</v>
      </c>
      <c r="N79" s="61">
        <f>COUNTIFS(Dashboard_Daten!$A$2:$A$70,$A79,Dashboard_Daten!$V$2:$V$70,"&lt;0")</f>
        <v>4</v>
      </c>
      <c r="O79" s="61">
        <f>COUNTIFS(Dashboard_Daten!$A$2:$A$70,$A79,Dashboard_Daten!$V$2:$V$70,"&gt;=0")</f>
        <v>3</v>
      </c>
      <c r="P79" s="61">
        <f>COUNTIFS(Dashboard_Daten!$A$2:$A$70,$A79,Dashboard_Daten!$C$2:$C$70,"&lt;&gt;")</f>
        <v>7</v>
      </c>
      <c r="Q79" s="73" t="str">
        <f t="shared" si="22"/>
        <v>Jahresabschluss</v>
      </c>
    </row>
    <row r="80" spans="1:25" ht="18.95" customHeight="1" x14ac:dyDescent="0.25">
      <c r="A80" s="61">
        <v>2024</v>
      </c>
      <c r="B80" s="64">
        <f>IF(Entwicklung!$B$4="Gesamtportfolio",SUMIFS(Dashboard_Daten!$V$2:$V$70,Dashboard_Daten!$A$2:$A$70,$A80),IF(COUNTIFS(Dashboard_Daten!$A$2:$A$70,$A80,Dashboard_Daten!$C$2:$C$70,Entwicklung!$B$4)=0,"",SUMIFS(Dashboard_Daten!$V$2:$V$70,Dashboard_Daten!$A$2:$A$70,$A80,Dashboard_Daten!$C$2:$C$70,Entwicklung!$B$4)))</f>
        <v>150468.51999999993</v>
      </c>
      <c r="C80" s="64">
        <f>IF(Entwicklung!$B$4="Gesamtportfolio",SUMIFS(Dashboard_Daten!$X$2:$X$70,Dashboard_Daten!$A$2:$A$70,$A80),IF(COUNTIFS(Dashboard_Daten!$A$2:$A$70,$A80,Dashboard_Daten!$C$2:$C$70,Entwicklung!$B$4)=0,"",SUMIFS(Dashboard_Daten!$X$2:$X$70,Dashboard_Daten!$A$2:$A$70,$A80,Dashboard_Daten!$C$2:$C$70,Entwicklung!$B$4)))</f>
        <v>968861.52</v>
      </c>
      <c r="D80" s="64">
        <f>IF(Entwicklung!$B$4="Gesamtportfolio",SUMIFS(Dashboard_Daten!$M$2:$M$70,Dashboard_Daten!$A$2:$A$70,$A80),IF(COUNTIFS(Dashboard_Daten!$A$2:$A$70,$A80,Dashboard_Daten!$C$2:$C$70,Entwicklung!$B$4)=0,"",SUMIFS(Dashboard_Daten!$M$2:$M$70,Dashboard_Daten!$A$2:$A$70,$A80,Dashboard_Daten!$C$2:$C$70,Entwicklung!$B$4)))</f>
        <v>818393</v>
      </c>
      <c r="E80" s="67">
        <f>IF(Entwicklung!$B$4="Gesamtportfolio",SUMIFS(Dashboard_Daten!$O$2:$O$70,Dashboard_Daten!$A$2:$A$70,$A80),IF(COUNTIFS(Dashboard_Daten!$A$2:$A$70,$A80,Dashboard_Daten!$C$2:$C$70,Entwicklung!$B$4)=0,"",SUMIFS(Dashboard_Daten!$O$2:$O$70,Dashboard_Daten!$A$2:$A$70,$A80,Dashboard_Daten!$C$2:$C$70,Entwicklung!$B$4)))</f>
        <v>110522.75695805723</v>
      </c>
      <c r="F80" s="67">
        <f>IF(Entwicklung!$B$4="Gesamtportfolio",SUMIFS(Dashboard_Daten!$R$2:$R$70,Dashboard_Daten!$A$2:$A$70,$A80),IF(COUNTIFS(Dashboard_Daten!$A$2:$A$70,$A80,Dashboard_Daten!$C$2:$C$70,Entwicklung!$B$4)=0,"",SUMIFS(Dashboard_Daten!$R$2:$R$70,Dashboard_Daten!$A$2:$A$70,$A80,Dashboard_Daten!$C$2:$C$70,Entwicklung!$B$4)))</f>
        <v>66726</v>
      </c>
      <c r="G80" s="70">
        <f t="shared" si="20"/>
        <v>0.60373086807201293</v>
      </c>
      <c r="H80" s="64">
        <f>IF(Entwicklung!$B$4="Gesamtportfolio",SUMIFS(Dashboard_Daten!$D$2:$D$70,Dashboard_Daten!$A$2:$A$70,$A80),IF(COUNTIFS(Dashboard_Daten!$A$2:$A$70,$A80,Dashboard_Daten!$C$2:$C$70,Entwicklung!$B$4)=0,"",SUMIFS(Dashboard_Daten!$D$2:$D$70,Dashboard_Daten!$A$2:$A$70,$A80,Dashboard_Daten!$C$2:$C$70,Entwicklung!$B$4)))</f>
        <v>794020</v>
      </c>
      <c r="I80" s="64">
        <f>IF(Entwicklung!$B$4="Gesamtportfolio",SUMIFS(Dashboard_Daten!$K$2:$K$70,Dashboard_Daten!$A$2:$A$70,$A80),IF(COUNTIFS(Dashboard_Daten!$A$2:$A$70,$A80,Dashboard_Daten!$C$2:$C$70,Entwicklung!$B$4)=0,"",SUMIFS(Dashboard_Daten!$K$2:$K$70,Dashboard_Daten!$A$2:$A$70,$A80,Dashboard_Daten!$C$2:$C$70,Entwicklung!$B$4)))</f>
        <v>24373</v>
      </c>
      <c r="J80" s="64">
        <f>IF(Entwicklung!$B$4="Gesamtportfolio",SUMIFS(Dashboard_Daten!$L$2:$L$70,Dashboard_Daten!$A$2:$A$70,$A80),IF(COUNTIFS(Dashboard_Daten!$A$2:$A$70,$A80,Dashboard_Daten!$C$2:$C$70,Entwicklung!$B$4)=0,"",SUMIFS(Dashboard_Daten!$L$2:$L$70,Dashboard_Daten!$A$2:$A$70,$A80,Dashboard_Daten!$C$2:$C$70,Entwicklung!$B$4)))</f>
        <v>0</v>
      </c>
      <c r="K80" s="64">
        <f t="shared" si="21"/>
        <v>12.26497916854</v>
      </c>
      <c r="L80" s="64">
        <f>IF(Entwicklung!$B$4="Gesamtportfolio",IFERROR(SUMIFS(Dashboard_Daten!$U$2:$U$70,Dashboard_Daten!$A$2:$A$70,$A80)/COUNTIFS(Dashboard_Daten!$A$2:$A$70,$A80),""),IF(COUNTIFS(Dashboard_Daten!$A$2:$A$70,$A80,Dashboard_Daten!$C$2:$C$70,Entwicklung!$B$4)=0,"",SUMIFS(Dashboard_Daten!$U$2:$U$70,Dashboard_Daten!$A$2:$A$70,$A80,Dashboard_Daten!$C$2:$C$70,Entwicklung!$B$4)/COUNTIFS(Dashboard_Daten!$A$2:$A$70,$A80,Dashboard_Daten!$C$2:$C$70,Entwicklung!$B$4)))</f>
        <v>14.519999999999998</v>
      </c>
      <c r="M80" s="64">
        <f>SUMIFS(Dashboard_Daten!$V$2:$V$70,Dashboard_Daten!$A$2:$A$70,$A80)</f>
        <v>150468.51999999993</v>
      </c>
      <c r="N80" s="61">
        <f>COUNTIFS(Dashboard_Daten!$A$2:$A$70,$A80,Dashboard_Daten!$V$2:$V$70,"&lt;0")</f>
        <v>2</v>
      </c>
      <c r="O80" s="61">
        <f>COUNTIFS(Dashboard_Daten!$A$2:$A$70,$A80,Dashboard_Daten!$V$2:$V$70,"&gt;=0")</f>
        <v>5</v>
      </c>
      <c r="P80" s="61">
        <f>COUNTIFS(Dashboard_Daten!$A$2:$A$70,$A80,Dashboard_Daten!$C$2:$C$70,"&lt;&gt;")</f>
        <v>7</v>
      </c>
      <c r="Q80" s="73" t="str">
        <f t="shared" si="22"/>
        <v>Jahresabschluss</v>
      </c>
    </row>
    <row r="81" spans="1:17" ht="18.95" customHeight="1" x14ac:dyDescent="0.25">
      <c r="A81" s="61">
        <v>2025</v>
      </c>
      <c r="B81" s="64">
        <f>IF(Entwicklung!$B$4="Gesamtportfolio",SUMIFS(Dashboard_Daten!$V$2:$V$70,Dashboard_Daten!$A$2:$A$70,$A81),IF(COUNTIFS(Dashboard_Daten!$A$2:$A$70,$A81,Dashboard_Daten!$C$2:$C$70,Entwicklung!$B$4)=0,"",SUMIFS(Dashboard_Daten!$V$2:$V$70,Dashboard_Daten!$A$2:$A$70,$A81,Dashboard_Daten!$C$2:$C$70,Entwicklung!$B$4)))</f>
        <v>173212.81050568077</v>
      </c>
      <c r="C81" s="64">
        <f>IF(Entwicklung!$B$4="Gesamtportfolio",SUMIFS(Dashboard_Daten!$X$2:$X$70,Dashboard_Daten!$A$2:$A$70,$A81),IF(COUNTIFS(Dashboard_Daten!$A$2:$A$70,$A81,Dashboard_Daten!$C$2:$C$70,Entwicklung!$B$4)=0,"",SUMIFS(Dashboard_Daten!$X$2:$X$70,Dashboard_Daten!$A$2:$A$70,$A81,Dashboard_Daten!$C$2:$C$70,Entwicklung!$B$4)))</f>
        <v>1033260.1705056807</v>
      </c>
      <c r="D81" s="64">
        <f>IF(Entwicklung!$B$4="Gesamtportfolio",SUMIFS(Dashboard_Daten!$M$2:$M$70,Dashboard_Daten!$A$2:$A$70,$A81),IF(COUNTIFS(Dashboard_Daten!$A$2:$A$70,$A81,Dashboard_Daten!$C$2:$C$70,Entwicklung!$B$4)=0,"",SUMIFS(Dashboard_Daten!$M$2:$M$70,Dashboard_Daten!$A$2:$A$70,$A81,Dashboard_Daten!$C$2:$C$70,Entwicklung!$B$4)))</f>
        <v>860047.35999999987</v>
      </c>
      <c r="E81" s="67">
        <f>IF(Entwicklung!$B$4="Gesamtportfolio",SUMIFS(Dashboard_Daten!$O$2:$O$70,Dashboard_Daten!$A$2:$A$70,$A81),IF(COUNTIFS(Dashboard_Daten!$A$2:$A$70,$A81,Dashboard_Daten!$C$2:$C$70,Entwicklung!$B$4)=0,"",SUMIFS(Dashboard_Daten!$O$2:$O$70,Dashboard_Daten!$A$2:$A$70,$A81,Dashboard_Daten!$C$2:$C$70,Entwicklung!$B$4)))</f>
        <v>96401</v>
      </c>
      <c r="F81" s="67">
        <f>IF(Entwicklung!$B$4="Gesamtportfolio",SUMIFS(Dashboard_Daten!$R$2:$R$70,Dashboard_Daten!$A$2:$A$70,$A81),IF(COUNTIFS(Dashboard_Daten!$A$2:$A$70,$A81,Dashboard_Daten!$C$2:$C$70,Entwicklung!$B$4)=0,"",SUMIFS(Dashboard_Daten!$R$2:$R$70,Dashboard_Daten!$A$2:$A$70,$A81,Dashboard_Daten!$C$2:$C$70,Entwicklung!$B$4)))</f>
        <v>72042</v>
      </c>
      <c r="G81" s="70">
        <f t="shared" si="20"/>
        <v>0.74731589921266373</v>
      </c>
      <c r="H81" s="64">
        <f>IF(Entwicklung!$B$4="Gesamtportfolio",SUMIFS(Dashboard_Daten!$D$2:$D$70,Dashboard_Daten!$A$2:$A$70,$A81),IF(COUNTIFS(Dashboard_Daten!$A$2:$A$70,$A81,Dashboard_Daten!$C$2:$C$70,Entwicklung!$B$4)=0,"",SUMIFS(Dashboard_Daten!$D$2:$D$70,Dashboard_Daten!$A$2:$A$70,$A81,Dashboard_Daten!$C$2:$C$70,Entwicklung!$B$4)))</f>
        <v>810814.35999999987</v>
      </c>
      <c r="I81" s="64">
        <f>IF(Entwicklung!$B$4="Gesamtportfolio",SUMIFS(Dashboard_Daten!$K$2:$K$70,Dashboard_Daten!$A$2:$A$70,$A81),IF(COUNTIFS(Dashboard_Daten!$A$2:$A$70,$A81,Dashboard_Daten!$C$2:$C$70,Entwicklung!$B$4)=0,"",SUMIFS(Dashboard_Daten!$K$2:$K$70,Dashboard_Daten!$A$2:$A$70,$A81,Dashboard_Daten!$C$2:$C$70,Entwicklung!$B$4)))</f>
        <v>49233</v>
      </c>
      <c r="J81" s="64">
        <f>IF(Entwicklung!$B$4="Gesamtportfolio",SUMIFS(Dashboard_Daten!$L$2:$L$70,Dashboard_Daten!$A$2:$A$70,$A81),IF(COUNTIFS(Dashboard_Daten!$A$2:$A$70,$A81,Dashboard_Daten!$C$2:$C$70,Entwicklung!$B$4)=0,"",SUMIFS(Dashboard_Daten!$L$2:$L$70,Dashboard_Daten!$A$2:$A$70,$A81,Dashboard_Daten!$C$2:$C$70,Entwicklung!$B$4)))</f>
        <v>0</v>
      </c>
      <c r="K81" s="64">
        <f t="shared" si="21"/>
        <v>11.938138308209098</v>
      </c>
      <c r="L81" s="64">
        <f>IF(Entwicklung!$B$4="Gesamtportfolio",IFERROR(SUMIFS(Dashboard_Daten!$U$2:$U$70,Dashboard_Daten!$A$2:$A$70,$A81)/COUNTIFS(Dashboard_Daten!$A$2:$A$70,$A81),""),IF(COUNTIFS(Dashboard_Daten!$A$2:$A$70,$A81,Dashboard_Daten!$C$2:$C$70,Entwicklung!$B$4)=0,"",SUMIFS(Dashboard_Daten!$U$2:$U$70,Dashboard_Daten!$A$2:$A$70,$A81,Dashboard_Daten!$C$2:$C$70,Entwicklung!$B$4)/COUNTIFS(Dashboard_Daten!$A$2:$A$70,$A81,Dashboard_Daten!$C$2:$C$70,Entwicklung!$B$4)))</f>
        <v>14.342469261065501</v>
      </c>
      <c r="M81" s="64">
        <f>SUMIFS(Dashboard_Daten!$V$2:$V$70,Dashboard_Daten!$A$2:$A$70,$A81)</f>
        <v>173212.81050568077</v>
      </c>
      <c r="N81" s="61">
        <f>COUNTIFS(Dashboard_Daten!$A$2:$A$70,$A81,Dashboard_Daten!$V$2:$V$70,"&lt;0")</f>
        <v>2</v>
      </c>
      <c r="O81" s="61">
        <f>COUNTIFS(Dashboard_Daten!$A$2:$A$70,$A81,Dashboard_Daten!$V$2:$V$70,"&gt;=0")</f>
        <v>5</v>
      </c>
      <c r="P81" s="61">
        <f>COUNTIFS(Dashboard_Daten!$A$2:$A$70,$A81,Dashboard_Daten!$C$2:$C$70,"&lt;&gt;")</f>
        <v>7</v>
      </c>
      <c r="Q81" s="73" t="str">
        <f t="shared" si="22"/>
        <v>Jahresabschluss</v>
      </c>
    </row>
    <row r="82" spans="1:17" ht="18.95" customHeight="1" x14ac:dyDescent="0.25">
      <c r="A82" s="62">
        <v>2026</v>
      </c>
      <c r="B82" s="65">
        <f>IF(Entwicklung!$B$4="Gesamtportfolio",SUMIFS(Dashboard_Daten!$V$2:$V$70,Dashboard_Daten!$A$2:$A$70,$A82),IF(COUNTIFS(Dashboard_Daten!$A$2:$A$70,$A82,Dashboard_Daten!$C$2:$C$70,Entwicklung!$B$4)=0,"",SUMIFS(Dashboard_Daten!$V$2:$V$70,Dashboard_Daten!$A$2:$A$70,$A82,Dashboard_Daten!$C$2:$C$70,Entwicklung!$B$4)))</f>
        <v>283119.90666666662</v>
      </c>
      <c r="C82" s="65">
        <f>IF(Entwicklung!$B$4="Gesamtportfolio",SUMIFS(Dashboard_Daten!$X$2:$X$70,Dashboard_Daten!$A$2:$A$70,$A82),IF(COUNTIFS(Dashboard_Daten!$A$2:$A$70,$A82,Dashboard_Daten!$C$2:$C$70,Entwicklung!$B$4)=0,"",SUMIFS(Dashboard_Daten!$X$2:$X$70,Dashboard_Daten!$A$2:$A$70,$A82,Dashboard_Daten!$C$2:$C$70,Entwicklung!$B$4)))</f>
        <v>1166095.4666666666</v>
      </c>
      <c r="D82" s="65">
        <f>IF(Entwicklung!$B$4="Gesamtportfolio",SUMIFS(Dashboard_Daten!$M$2:$M$70,Dashboard_Daten!$A$2:$A$70,$A82),IF(COUNTIFS(Dashboard_Daten!$A$2:$A$70,$A82,Dashboard_Daten!$C$2:$C$70,Entwicklung!$B$4)=0,"",SUMIFS(Dashboard_Daten!$M$2:$M$70,Dashboard_Daten!$A$2:$A$70,$A82,Dashboard_Daten!$C$2:$C$70,Entwicklung!$B$4)))</f>
        <v>882975.55999999994</v>
      </c>
      <c r="E82" s="68">
        <f>IF(Entwicklung!$B$4="Gesamtportfolio",SUMIFS(Dashboard_Daten!$O$2:$O$70,Dashboard_Daten!$A$2:$A$70,$A82),IF(COUNTIFS(Dashboard_Daten!$A$2:$A$70,$A82,Dashboard_Daten!$C$2:$C$70,Entwicklung!$B$4)=0,"",SUMIFS(Dashboard_Daten!$O$2:$O$70,Dashboard_Daten!$A$2:$A$70,$A82,Dashboard_Daten!$C$2:$C$70,Entwicklung!$B$4)))</f>
        <v>92171.190476190473</v>
      </c>
      <c r="F82" s="68">
        <f>IF(Entwicklung!$B$4="Gesamtportfolio",SUMIFS(Dashboard_Daten!$R$2:$R$70,Dashboard_Daten!$A$2:$A$70,$A82),IF(COUNTIFS(Dashboard_Daten!$A$2:$A$70,$A82,Dashboard_Daten!$C$2:$C$70,Entwicklung!$B$4)=0,"",SUMIFS(Dashboard_Daten!$R$2:$R$70,Dashboard_Daten!$A$2:$A$70,$A82,Dashboard_Daten!$C$2:$C$70,Entwicklung!$B$4)))</f>
        <v>74368.333333333328</v>
      </c>
      <c r="G82" s="71">
        <f t="shared" si="20"/>
        <v>0.80685009002399777</v>
      </c>
      <c r="H82" s="65">
        <f>IF(Entwicklung!$B$4="Gesamtportfolio",SUMIFS(Dashboard_Daten!$D$2:$D$70,Dashboard_Daten!$A$2:$A$70,$A82),IF(COUNTIFS(Dashboard_Daten!$A$2:$A$70,$A82,Dashboard_Daten!$C$2:$C$70,Entwicklung!$B$4)=0,"",SUMIFS(Dashboard_Daten!$D$2:$D$70,Dashboard_Daten!$A$2:$A$70,$A82,Dashboard_Daten!$C$2:$C$70,Entwicklung!$B$4)))</f>
        <v>847782.55999999994</v>
      </c>
      <c r="I82" s="65">
        <f>IF(Entwicklung!$B$4="Gesamtportfolio",SUMIFS(Dashboard_Daten!$K$2:$K$70,Dashboard_Daten!$A$2:$A$70,$A82),IF(COUNTIFS(Dashboard_Daten!$A$2:$A$70,$A82,Dashboard_Daten!$C$2:$C$70,Entwicklung!$B$4)=0,"",SUMIFS(Dashboard_Daten!$K$2:$K$70,Dashboard_Daten!$A$2:$A$70,$A82,Dashboard_Daten!$C$2:$C$70,Entwicklung!$B$4)))</f>
        <v>35193</v>
      </c>
      <c r="J82" s="65">
        <f>IF(Entwicklung!$B$4="Gesamtportfolio",SUMIFS(Dashboard_Daten!$L$2:$L$70,Dashboard_Daten!$A$2:$A$70,$A82),IF(COUNTIFS(Dashboard_Daten!$A$2:$A$70,$A82,Dashboard_Daten!$C$2:$C$70,Entwicklung!$B$4)=0,"",SUMIFS(Dashboard_Daten!$L$2:$L$70,Dashboard_Daten!$A$2:$A$70,$A82,Dashboard_Daten!$C$2:$C$70,Entwicklung!$B$4)))</f>
        <v>0</v>
      </c>
      <c r="K82" s="65">
        <f t="shared" si="21"/>
        <v>11.873004549427399</v>
      </c>
      <c r="L82" s="65">
        <f>IF(Entwicklung!$B$4="Gesamtportfolio",IFERROR(SUMIFS(Dashboard_Daten!$U$2:$U$70,Dashboard_Daten!$A$2:$A$70,$A82)/COUNTIFS(Dashboard_Daten!$A$2:$A$70,$A82),""),IF(COUNTIFS(Dashboard_Daten!$A$2:$A$70,$A82,Dashboard_Daten!$C$2:$C$70,Entwicklung!$B$4)=0,"",SUMIFS(Dashboard_Daten!$U$2:$U$70,Dashboard_Daten!$A$2:$A$70,$A82,Dashboard_Daten!$C$2:$C$70,Entwicklung!$B$4)/COUNTIFS(Dashboard_Daten!$A$2:$A$70,$A82,Dashboard_Daten!$C$2:$C$70,Entwicklung!$B$4)))</f>
        <v>15.680000000000001</v>
      </c>
      <c r="M82" s="65">
        <f>SUMIFS(Dashboard_Daten!$V$2:$V$70,Dashboard_Daten!$A$2:$A$70,$A82)</f>
        <v>283119.90666666662</v>
      </c>
      <c r="N82" s="62">
        <f>COUNTIFS(Dashboard_Daten!$A$2:$A$70,$A82,Dashboard_Daten!$V$2:$V$70,"&lt;0")</f>
        <v>2</v>
      </c>
      <c r="O82" s="62">
        <f>COUNTIFS(Dashboard_Daten!$A$2:$A$70,$A82,Dashboard_Daten!$V$2:$V$70,"&gt;=0")</f>
        <v>3</v>
      </c>
      <c r="P82" s="62">
        <f>COUNTIFS(Dashboard_Daten!$A$2:$A$70,$A82,Dashboard_Daten!$C$2:$C$70,"&lt;&gt;")</f>
        <v>5</v>
      </c>
      <c r="Q82" s="74" t="str">
        <f t="shared" si="22"/>
        <v>Hochrechnung</v>
      </c>
    </row>
    <row r="84" spans="1:17" x14ac:dyDescent="0.25">
      <c r="A84" s="253" t="s">
        <v>112</v>
      </c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</row>
    <row r="85" spans="1:17" x14ac:dyDescent="0.25">
      <c r="A85" s="253"/>
      <c r="B85" s="253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</row>
  </sheetData>
  <mergeCells count="3">
    <mergeCell ref="A72:Y72"/>
    <mergeCell ref="A75:Q75"/>
    <mergeCell ref="A84:Q8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KPI</vt:lpstr>
      <vt:lpstr>Dashboard</vt:lpstr>
      <vt:lpstr>Entwicklung</vt:lpstr>
      <vt:lpstr>Dashboard_Daten</vt:lpstr>
      <vt:lpstr>Datenschnitt_Jahr</vt:lpstr>
      <vt:lpstr>Datenschnitt_Projekt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Hambuch, M.</dc:creator>
  <cp:lastModifiedBy>Marco Hambuch</cp:lastModifiedBy>
  <dcterms:created xsi:type="dcterms:W3CDTF">2026-08-12T14:46:39Z</dcterms:created>
  <dcterms:modified xsi:type="dcterms:W3CDTF">2026-08-27T13:44:00Z</dcterms:modified>
</cp:coreProperties>
</file>